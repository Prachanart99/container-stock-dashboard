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AILY REPORT\STOCK\"/>
    </mc:Choice>
  </mc:AlternateContent>
  <xr:revisionPtr revIDLastSave="0" documentId="8_{7F47A41B-3377-4AE8-BCDC-013FE3863A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ily" sheetId="3" r:id="rId1"/>
    <sheet name="New Forma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4" l="1"/>
  <c r="A20" i="4"/>
  <c r="J19" i="4"/>
  <c r="I19" i="4"/>
  <c r="H19" i="4"/>
  <c r="G19" i="4"/>
  <c r="F19" i="4"/>
  <c r="E19" i="4"/>
  <c r="D19" i="4"/>
  <c r="C19" i="4"/>
  <c r="B19" i="4"/>
  <c r="J15" i="4"/>
  <c r="I15" i="4"/>
  <c r="H15" i="4"/>
  <c r="G15" i="4"/>
  <c r="F15" i="4"/>
  <c r="E15" i="4"/>
  <c r="D15" i="4"/>
  <c r="C15" i="4"/>
  <c r="B15" i="4"/>
  <c r="T9" i="4"/>
  <c r="S9" i="4"/>
  <c r="R9" i="4"/>
  <c r="O9" i="4"/>
  <c r="N9" i="4"/>
  <c r="M9" i="4"/>
  <c r="J7" i="4"/>
  <c r="I7" i="4"/>
  <c r="H7" i="4"/>
  <c r="G7" i="4"/>
  <c r="F7" i="4"/>
  <c r="E7" i="4"/>
  <c r="D7" i="4"/>
  <c r="C7" i="4"/>
  <c r="B7" i="4"/>
  <c r="J3" i="4"/>
  <c r="I3" i="4"/>
  <c r="H3" i="4"/>
  <c r="G3" i="4"/>
  <c r="F3" i="4"/>
  <c r="E3" i="4"/>
  <c r="D3" i="4"/>
  <c r="C3" i="4"/>
  <c r="B3" i="4"/>
  <c r="AF55" i="3"/>
  <c r="J21" i="4" s="1"/>
  <c r="AE55" i="3"/>
  <c r="I21" i="4" s="1"/>
  <c r="AD55" i="3"/>
  <c r="H21" i="4" s="1"/>
  <c r="AC55" i="3"/>
  <c r="G21" i="4" s="1"/>
  <c r="AB55" i="3"/>
  <c r="F21" i="4" s="1"/>
  <c r="AA55" i="3"/>
  <c r="E21" i="4" s="1"/>
  <c r="Z55" i="3"/>
  <c r="D21" i="4" s="1"/>
  <c r="Y55" i="3"/>
  <c r="C21" i="4" s="1"/>
  <c r="X55" i="3"/>
  <c r="B21" i="4" s="1"/>
  <c r="K55" i="3"/>
  <c r="J9" i="4" s="1"/>
  <c r="J55" i="3"/>
  <c r="I9" i="4" s="1"/>
  <c r="I55" i="3"/>
  <c r="H9" i="4" s="1"/>
  <c r="H55" i="3"/>
  <c r="G9" i="4" s="1"/>
  <c r="G55" i="3"/>
  <c r="F9" i="4" s="1"/>
  <c r="F55" i="3"/>
  <c r="E9" i="4" s="1"/>
  <c r="E55" i="3"/>
  <c r="D9" i="4" s="1"/>
  <c r="D55" i="3"/>
  <c r="C9" i="4" s="1"/>
  <c r="C55" i="3"/>
  <c r="B9" i="4" s="1"/>
  <c r="AK54" i="3"/>
  <c r="AJ54" i="3"/>
  <c r="AI54" i="3"/>
  <c r="AH54" i="3"/>
  <c r="AG54" i="3"/>
  <c r="T54" i="3"/>
  <c r="S54" i="3"/>
  <c r="R54" i="3"/>
  <c r="Q54" i="3"/>
  <c r="P54" i="3"/>
  <c r="O54" i="3"/>
  <c r="N54" i="3"/>
  <c r="M54" i="3"/>
  <c r="L54" i="3"/>
  <c r="AO53" i="3"/>
  <c r="AN53" i="3"/>
  <c r="AM53" i="3"/>
  <c r="AL53" i="3"/>
  <c r="AK53" i="3"/>
  <c r="AJ53" i="3"/>
  <c r="AI53" i="3"/>
  <c r="AH53" i="3"/>
  <c r="AG53" i="3"/>
  <c r="AO52" i="3"/>
  <c r="AN52" i="3"/>
  <c r="AM52" i="3"/>
  <c r="AL52" i="3"/>
  <c r="AK52" i="3"/>
  <c r="AJ52" i="3"/>
  <c r="AJ55" i="3" s="1"/>
  <c r="AI52" i="3"/>
  <c r="AI55" i="3" s="1"/>
  <c r="AH52" i="3"/>
  <c r="AH55" i="3" s="1"/>
  <c r="AG52" i="3"/>
  <c r="T52" i="3"/>
  <c r="S52" i="3"/>
  <c r="R52" i="3"/>
  <c r="Q52" i="3"/>
  <c r="P52" i="3"/>
  <c r="O52" i="3"/>
  <c r="N52" i="3"/>
  <c r="M52" i="3"/>
  <c r="L52" i="3"/>
  <c r="AO51" i="3"/>
  <c r="AN51" i="3"/>
  <c r="AM51" i="3"/>
  <c r="AL51" i="3"/>
  <c r="AK51" i="3"/>
  <c r="AJ51" i="3"/>
  <c r="AI51" i="3"/>
  <c r="AH51" i="3"/>
  <c r="AG51" i="3"/>
  <c r="T51" i="3"/>
  <c r="S51" i="3"/>
  <c r="R51" i="3"/>
  <c r="Q51" i="3"/>
  <c r="P51" i="3"/>
  <c r="O51" i="3"/>
  <c r="N51" i="3"/>
  <c r="M51" i="3"/>
  <c r="L51" i="3"/>
  <c r="AO50" i="3"/>
  <c r="AN50" i="3"/>
  <c r="AM50" i="3"/>
  <c r="AL50" i="3"/>
  <c r="AK50" i="3"/>
  <c r="AJ50" i="3"/>
  <c r="AI50" i="3"/>
  <c r="AH50" i="3"/>
  <c r="AG50" i="3"/>
  <c r="T50" i="3"/>
  <c r="S50" i="3"/>
  <c r="R50" i="3"/>
  <c r="Q50" i="3"/>
  <c r="P50" i="3"/>
  <c r="O50" i="3"/>
  <c r="N50" i="3"/>
  <c r="M50" i="3"/>
  <c r="L50" i="3"/>
  <c r="AO49" i="3"/>
  <c r="AN49" i="3"/>
  <c r="AM49" i="3"/>
  <c r="AL49" i="3"/>
  <c r="AK49" i="3"/>
  <c r="AJ49" i="3"/>
  <c r="AI49" i="3"/>
  <c r="AH49" i="3"/>
  <c r="AG49" i="3"/>
  <c r="T49" i="3"/>
  <c r="S49" i="3"/>
  <c r="R49" i="3"/>
  <c r="Q49" i="3"/>
  <c r="P49" i="3"/>
  <c r="O49" i="3"/>
  <c r="N49" i="3"/>
  <c r="M49" i="3"/>
  <c r="L49" i="3"/>
  <c r="AO48" i="3"/>
  <c r="AN48" i="3"/>
  <c r="AM48" i="3"/>
  <c r="AL48" i="3"/>
  <c r="AK48" i="3"/>
  <c r="AJ48" i="3"/>
  <c r="AI48" i="3"/>
  <c r="AH48" i="3"/>
  <c r="AG48" i="3"/>
  <c r="AG55" i="3" s="1"/>
  <c r="T48" i="3"/>
  <c r="T55" i="3" s="1"/>
  <c r="S48" i="3"/>
  <c r="S55" i="3" s="1"/>
  <c r="R48" i="3"/>
  <c r="Q48" i="3"/>
  <c r="P48" i="3"/>
  <c r="O48" i="3"/>
  <c r="N48" i="3"/>
  <c r="M48" i="3"/>
  <c r="L48" i="3"/>
  <c r="AO47" i="3"/>
  <c r="AN47" i="3"/>
  <c r="AM47" i="3"/>
  <c r="AL47" i="3"/>
  <c r="AK47" i="3"/>
  <c r="AK55" i="3" s="1"/>
  <c r="AJ47" i="3"/>
  <c r="AI47" i="3"/>
  <c r="AH47" i="3"/>
  <c r="AG47" i="3"/>
  <c r="T47" i="3"/>
  <c r="S47" i="3"/>
  <c r="R47" i="3"/>
  <c r="Q47" i="3"/>
  <c r="AO46" i="3"/>
  <c r="AN46" i="3"/>
  <c r="AM46" i="3"/>
  <c r="AL46" i="3"/>
  <c r="AK46" i="3"/>
  <c r="AJ46" i="3"/>
  <c r="AI46" i="3"/>
  <c r="AH46" i="3"/>
  <c r="AG46" i="3"/>
  <c r="T46" i="3"/>
  <c r="S46" i="3"/>
  <c r="R46" i="3"/>
  <c r="Q46" i="3"/>
  <c r="P46" i="3"/>
  <c r="O46" i="3"/>
  <c r="N46" i="3"/>
  <c r="M46" i="3"/>
  <c r="L46" i="3"/>
  <c r="AO45" i="3"/>
  <c r="AN45" i="3"/>
  <c r="AM45" i="3"/>
  <c r="AL45" i="3"/>
  <c r="AK45" i="3"/>
  <c r="AJ45" i="3"/>
  <c r="AI45" i="3"/>
  <c r="AH45" i="3"/>
  <c r="AG45" i="3"/>
  <c r="T45" i="3"/>
  <c r="S45" i="3"/>
  <c r="R45" i="3"/>
  <c r="R55" i="3" s="1"/>
  <c r="Q45" i="3"/>
  <c r="Q55" i="3" s="1"/>
  <c r="P45" i="3"/>
  <c r="P55" i="3" s="1"/>
  <c r="O45" i="3"/>
  <c r="O55" i="3" s="1"/>
  <c r="N45" i="3"/>
  <c r="N55" i="3" s="1"/>
  <c r="M45" i="3"/>
  <c r="M55" i="3" s="1"/>
  <c r="L45" i="3"/>
  <c r="L55" i="3" s="1"/>
  <c r="AD43" i="3"/>
  <c r="X43" i="3"/>
  <c r="AK41" i="3"/>
  <c r="AJ41" i="3"/>
  <c r="AI41" i="3"/>
  <c r="AH41" i="3"/>
  <c r="AG41" i="3"/>
  <c r="AF41" i="3"/>
  <c r="J20" i="4" s="1"/>
  <c r="AE41" i="3"/>
  <c r="I20" i="4" s="1"/>
  <c r="AD41" i="3"/>
  <c r="H20" i="4" s="1"/>
  <c r="AC41" i="3"/>
  <c r="G20" i="4" s="1"/>
  <c r="AB41" i="3"/>
  <c r="F20" i="4" s="1"/>
  <c r="AA41" i="3"/>
  <c r="E20" i="4" s="1"/>
  <c r="Z41" i="3"/>
  <c r="D20" i="4" s="1"/>
  <c r="Y41" i="3"/>
  <c r="C20" i="4" s="1"/>
  <c r="X41" i="3"/>
  <c r="B20" i="4" s="1"/>
  <c r="T41" i="3"/>
  <c r="S41" i="3"/>
  <c r="R41" i="3"/>
  <c r="Q41" i="3"/>
  <c r="P41" i="3"/>
  <c r="O41" i="3"/>
  <c r="N41" i="3"/>
  <c r="M41" i="3"/>
  <c r="L41" i="3"/>
  <c r="K41" i="3"/>
  <c r="J8" i="4" s="1"/>
  <c r="J41" i="3"/>
  <c r="I8" i="4" s="1"/>
  <c r="I41" i="3"/>
  <c r="H8" i="4" s="1"/>
  <c r="H41" i="3"/>
  <c r="G8" i="4" s="1"/>
  <c r="G41" i="3"/>
  <c r="F8" i="4" s="1"/>
  <c r="F41" i="3"/>
  <c r="E8" i="4" s="1"/>
  <c r="E10" i="4" s="1"/>
  <c r="E41" i="3"/>
  <c r="D8" i="4" s="1"/>
  <c r="D10" i="4" s="1"/>
  <c r="D41" i="3"/>
  <c r="C8" i="4" s="1"/>
  <c r="C10" i="4" s="1"/>
  <c r="C41" i="3"/>
  <c r="B8" i="4" s="1"/>
  <c r="B10" i="4" s="1"/>
  <c r="AO40" i="3"/>
  <c r="AN40" i="3"/>
  <c r="AM40" i="3"/>
  <c r="AL40" i="3"/>
  <c r="AK40" i="3"/>
  <c r="AJ40" i="3"/>
  <c r="AI40" i="3"/>
  <c r="AH40" i="3"/>
  <c r="AG40" i="3"/>
  <c r="T40" i="3"/>
  <c r="S40" i="3"/>
  <c r="R40" i="3"/>
  <c r="Q40" i="3"/>
  <c r="P40" i="3"/>
  <c r="O40" i="3"/>
  <c r="N40" i="3"/>
  <c r="M40" i="3"/>
  <c r="L40" i="3"/>
  <c r="AO39" i="3"/>
  <c r="AN39" i="3"/>
  <c r="AM39" i="3"/>
  <c r="AL39" i="3"/>
  <c r="AK39" i="3"/>
  <c r="AJ39" i="3"/>
  <c r="AI39" i="3"/>
  <c r="AH39" i="3"/>
  <c r="AG39" i="3"/>
  <c r="AO38" i="3"/>
  <c r="AN38" i="3"/>
  <c r="AM38" i="3"/>
  <c r="AL38" i="3"/>
  <c r="AK38" i="3"/>
  <c r="AJ38" i="3"/>
  <c r="AI38" i="3"/>
  <c r="AH38" i="3"/>
  <c r="AG38" i="3"/>
  <c r="T38" i="3"/>
  <c r="S38" i="3"/>
  <c r="R38" i="3"/>
  <c r="Q38" i="3"/>
  <c r="P38" i="3"/>
  <c r="O38" i="3"/>
  <c r="N38" i="3"/>
  <c r="M38" i="3"/>
  <c r="L38" i="3"/>
  <c r="AO37" i="3"/>
  <c r="AN37" i="3"/>
  <c r="AM37" i="3"/>
  <c r="AL37" i="3"/>
  <c r="AK37" i="3"/>
  <c r="AJ37" i="3"/>
  <c r="AI37" i="3"/>
  <c r="AH37" i="3"/>
  <c r="AG37" i="3"/>
  <c r="T37" i="3"/>
  <c r="S37" i="3"/>
  <c r="R37" i="3"/>
  <c r="Q37" i="3"/>
  <c r="P37" i="3"/>
  <c r="O37" i="3"/>
  <c r="N37" i="3"/>
  <c r="M37" i="3"/>
  <c r="L37" i="3"/>
  <c r="AO36" i="3"/>
  <c r="AN36" i="3"/>
  <c r="AM36" i="3"/>
  <c r="AL36" i="3"/>
  <c r="AK36" i="3"/>
  <c r="AJ36" i="3"/>
  <c r="AI36" i="3"/>
  <c r="AH36" i="3"/>
  <c r="AG36" i="3"/>
  <c r="T36" i="3"/>
  <c r="S36" i="3"/>
  <c r="R36" i="3"/>
  <c r="Q36" i="3"/>
  <c r="P36" i="3"/>
  <c r="O36" i="3"/>
  <c r="N36" i="3"/>
  <c r="M36" i="3"/>
  <c r="L36" i="3"/>
  <c r="AO35" i="3"/>
  <c r="AN35" i="3"/>
  <c r="AM35" i="3"/>
  <c r="AL35" i="3"/>
  <c r="AK35" i="3"/>
  <c r="AJ35" i="3"/>
  <c r="AI35" i="3"/>
  <c r="AH35" i="3"/>
  <c r="AG35" i="3"/>
  <c r="T35" i="3"/>
  <c r="S35" i="3"/>
  <c r="R35" i="3"/>
  <c r="Q35" i="3"/>
  <c r="P35" i="3"/>
  <c r="O35" i="3"/>
  <c r="N35" i="3"/>
  <c r="M35" i="3"/>
  <c r="L35" i="3"/>
  <c r="AO34" i="3"/>
  <c r="AN34" i="3"/>
  <c r="AM34" i="3"/>
  <c r="AL34" i="3"/>
  <c r="AK34" i="3"/>
  <c r="AJ34" i="3"/>
  <c r="AI34" i="3"/>
  <c r="AH34" i="3"/>
  <c r="AG34" i="3"/>
  <c r="T34" i="3"/>
  <c r="S34" i="3"/>
  <c r="R34" i="3"/>
  <c r="Q34" i="3"/>
  <c r="P34" i="3"/>
  <c r="O34" i="3"/>
  <c r="N34" i="3"/>
  <c r="M34" i="3"/>
  <c r="L34" i="3"/>
  <c r="AO33" i="3"/>
  <c r="AN33" i="3"/>
  <c r="AM33" i="3"/>
  <c r="AL33" i="3"/>
  <c r="AK33" i="3"/>
  <c r="AJ33" i="3"/>
  <c r="AI33" i="3"/>
  <c r="AH33" i="3"/>
  <c r="AG33" i="3"/>
  <c r="T33" i="3"/>
  <c r="S33" i="3"/>
  <c r="R33" i="3"/>
  <c r="Q33" i="3"/>
  <c r="P33" i="3"/>
  <c r="O33" i="3"/>
  <c r="N33" i="3"/>
  <c r="AO32" i="3"/>
  <c r="AN32" i="3"/>
  <c r="AM32" i="3"/>
  <c r="AL32" i="3"/>
  <c r="AK32" i="3"/>
  <c r="AJ32" i="3"/>
  <c r="AI32" i="3"/>
  <c r="AH32" i="3"/>
  <c r="AG32" i="3"/>
  <c r="T32" i="3"/>
  <c r="S32" i="3"/>
  <c r="R32" i="3"/>
  <c r="Q32" i="3"/>
  <c r="P32" i="3"/>
  <c r="O32" i="3"/>
  <c r="N32" i="3"/>
  <c r="M32" i="3"/>
  <c r="L32" i="3"/>
  <c r="AO31" i="3"/>
  <c r="AN31" i="3"/>
  <c r="AM31" i="3"/>
  <c r="AL31" i="3"/>
  <c r="AK31" i="3"/>
  <c r="AJ31" i="3"/>
  <c r="AI31" i="3"/>
  <c r="AH31" i="3"/>
  <c r="AG31" i="3"/>
  <c r="T31" i="3"/>
  <c r="S31" i="3"/>
  <c r="R31" i="3"/>
  <c r="Q31" i="3"/>
  <c r="P31" i="3"/>
  <c r="O31" i="3"/>
  <c r="N31" i="3"/>
  <c r="M31" i="3"/>
  <c r="L31" i="3"/>
  <c r="AD29" i="3"/>
  <c r="X29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R2" i="3"/>
  <c r="AM2" i="3" s="1"/>
  <c r="AO54" i="3" l="1"/>
  <c r="AO55" i="3" s="1"/>
  <c r="AO41" i="3"/>
  <c r="AN54" i="3"/>
  <c r="AN55" i="3" s="1"/>
  <c r="AN41" i="3"/>
  <c r="AM54" i="3"/>
  <c r="AM55" i="3" s="1"/>
  <c r="AM41" i="3"/>
  <c r="AL54" i="3"/>
  <c r="AL55" i="3" s="1"/>
  <c r="AL41" i="3"/>
  <c r="J22" i="4"/>
  <c r="H22" i="4"/>
  <c r="G22" i="4"/>
  <c r="F22" i="4"/>
  <c r="E22" i="4"/>
  <c r="D22" i="4"/>
  <c r="C22" i="4"/>
  <c r="B22" i="4"/>
  <c r="J10" i="4"/>
  <c r="H10" i="4"/>
  <c r="F10" i="4"/>
  <c r="I22" i="4"/>
  <c r="I10" i="4"/>
  <c r="G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SINOKOR engine</author>
  </authors>
  <commentList>
    <comment ref="C1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D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E1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F1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G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H1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I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J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K1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L1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M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N1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O1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P1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Q1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R1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S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T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C1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X1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Y1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Z1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A1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B1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C1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D1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E1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F1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G1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H1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I1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J1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K1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L1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M1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N1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O1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14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4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3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9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9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4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4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4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4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4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4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4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4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4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</commentList>
</comments>
</file>

<file path=xl/sharedStrings.xml><?xml version="1.0" encoding="utf-8"?>
<sst xmlns="http://schemas.openxmlformats.org/spreadsheetml/2006/main" count="317" uniqueCount="63">
  <si>
    <t>DAILY CONTAINER STOCK</t>
  </si>
  <si>
    <t>DATE:</t>
  </si>
  <si>
    <t>29/10/2026</t>
  </si>
  <si>
    <t>LOCATION</t>
  </si>
  <si>
    <t>FULL INBOUND (BKK)</t>
  </si>
  <si>
    <t>CURRENT STOCK</t>
  </si>
  <si>
    <t>FULL INBOUND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</si>
  <si>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</si>
  <si>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</si>
  <si>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</si>
  <si>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</si>
  <si>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</si>
  <si>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</si>
  <si>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</si>
  <si>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</si>
  <si>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</si>
  <si>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</si>
  <si>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</si>
  <si>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</si>
  <si>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</si>
  <si>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HUTCHISON</t>
  </si>
  <si>
    <t>YJC II</t>
  </si>
  <si>
    <t>DEPOT</t>
  </si>
  <si>
    <t>ESCO</t>
  </si>
  <si>
    <t>CDS</t>
  </si>
  <si>
    <t>LCIT</t>
  </si>
  <si>
    <t>TIFFA</t>
  </si>
  <si>
    <t>ICD</t>
  </si>
  <si>
    <t>YJC</t>
  </si>
  <si>
    <t xml:space="preserve">CDS LCH </t>
  </si>
  <si>
    <t>PH</t>
  </si>
  <si>
    <t>JWD</t>
  </si>
  <si>
    <t>LEASE IN</t>
  </si>
  <si>
    <t>REPO (E/P)</t>
  </si>
  <si>
    <t>TOTAL AT BKK</t>
  </si>
  <si>
    <t>TOTAL AT LCH</t>
  </si>
  <si>
    <t>STOCK END WK</t>
  </si>
  <si>
    <t>REPO IN（E/P）　　　　　　　　　</t>
  </si>
  <si>
    <t>BOOKING W 1</t>
  </si>
  <si>
    <t>29-01/11/2026</t>
  </si>
  <si>
    <t>LCHZZ</t>
  </si>
  <si>
    <t>TIPS</t>
  </si>
  <si>
    <t/>
  </si>
  <si>
    <t>BOOKING W 2</t>
  </si>
  <si>
    <t>02-08/11/2026</t>
  </si>
  <si>
    <t>SKR-THBKK</t>
  </si>
  <si>
    <t>Item</t>
  </si>
  <si>
    <t>BKK</t>
  </si>
  <si>
    <t>LCH</t>
  </si>
  <si>
    <t>Current Stock</t>
  </si>
  <si>
    <t>YEAR BUILT</t>
  </si>
  <si>
    <t>CARRIER</t>
  </si>
  <si>
    <t>DAIKIN</t>
  </si>
  <si>
    <t>THERMOKING</t>
  </si>
  <si>
    <t>E/P In (this week)</t>
  </si>
  <si>
    <t>E/P In (next week)</t>
  </si>
  <si>
    <t>Lease In HAL</t>
  </si>
  <si>
    <t>IED(Estimated)</t>
  </si>
  <si>
    <t>Booking (29-01/11)2026</t>
  </si>
  <si>
    <t>Booking (02-08/11)2026</t>
  </si>
  <si>
    <t>TOTAL</t>
  </si>
  <si>
    <t>Balance</t>
  </si>
  <si>
    <t>SKR-THLCH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</si>
</sst>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45">
    <xf numFmtId="0" fontId="0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3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1"/>
    <xf numFmtId="0" fontId="12" fillId="2" borderId="13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5" fillId="0" borderId="25" xfId="0" applyNumberFormat="1" applyFont="1" applyBorder="1" applyAlignment="1">
      <alignment horizontal="right"/>
    </xf>
    <xf numFmtId="166" fontId="26" fillId="0" borderId="25" xfId="3" applyNumberFormat="1" applyFont="1" applyBorder="1" applyAlignment="1">
      <alignment horizontal="center" vertical="center"/>
    </xf>
    <xf numFmtId="0" fontId="26" fillId="0" borderId="25" xfId="3" applyFont="1" applyBorder="1" applyAlignment="1">
      <alignment horizontal="center" vertical="center"/>
    </xf>
    <xf numFmtId="0" fontId="26" fillId="0" borderId="26" xfId="3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9" fillId="0" borderId="0" xfId="0" applyFont="1"/>
    <xf numFmtId="0" fontId="30" fillId="0" borderId="25" xfId="0" applyFont="1" applyBorder="1" applyAlignment="1">
      <alignment horizontal="right"/>
    </xf>
    <xf numFmtId="0" fontId="20" fillId="8" borderId="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8" fillId="10" borderId="13" xfId="0" applyNumberFormat="1" applyFont="1" applyFill="1" applyBorder="1" applyAlignment="1">
      <alignment horizontal="center" vertical="center"/>
    </xf>
    <xf numFmtId="164" fontId="9" fillId="10" borderId="5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64" fontId="9" fillId="10" borderId="6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13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1" xfId="0" applyBorder="1"/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4" fillId="2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3" fillId="0" borderId="0" xfId="0" applyFont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0" fontId="0" fillId="0" borderId="17" xfId="0" applyBorder="1"/>
    <xf numFmtId="0" fontId="23" fillId="2" borderId="1" xfId="0" applyFont="1" applyFill="1" applyBorder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9" xfId="0" applyBorder="1"/>
    <xf numFmtId="14" fontId="6" fillId="2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15" fillId="5" borderId="3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7" fillId="0" borderId="25" xfId="3" applyFont="1" applyBorder="1" applyAlignment="1">
      <alignment horizontal="center" vertical="center" wrapText="1"/>
    </xf>
    <xf numFmtId="0" fontId="0" fillId="0" borderId="28" xfId="0" applyBorder="1"/>
    <xf numFmtId="0" fontId="28" fillId="0" borderId="27" xfId="0" applyFont="1" applyBorder="1" applyAlignment="1">
      <alignment horizontal="center" vertical="center"/>
    </xf>
    <xf numFmtId="0" fontId="0" fillId="0" borderId="27" xfId="0" applyBorder="1"/>
  </cellXfs>
  <cellStyles count="45">
    <cellStyle name="Comma 2" xfId="5" xr:uid="{00000000-0005-0000-0000-000005000000}"/>
    <cellStyle name="Comma 2 2" xfId="18" xr:uid="{00000000-0005-0000-0000-000012000000}"/>
    <cellStyle name="Comma 3" xfId="7" xr:uid="{00000000-0005-0000-0000-000007000000}"/>
    <cellStyle name="Comma 3 2" xfId="20" xr:uid="{00000000-0005-0000-0000-000014000000}"/>
    <cellStyle name="Normal" xfId="0" builtinId="0"/>
    <cellStyle name="Normal 10" xfId="13" xr:uid="{00000000-0005-0000-0000-00000D000000}"/>
    <cellStyle name="Normal 10 2" xfId="26" xr:uid="{00000000-0005-0000-0000-00001A000000}"/>
    <cellStyle name="Normal 11" xfId="14" xr:uid="{00000000-0005-0000-0000-00000E000000}"/>
    <cellStyle name="Normal 11 2" xfId="27" xr:uid="{00000000-0005-0000-0000-00001B000000}"/>
    <cellStyle name="Normal 12" xfId="15" xr:uid="{00000000-0005-0000-0000-00000F000000}"/>
    <cellStyle name="Normal 12 2" xfId="28" xr:uid="{00000000-0005-0000-0000-00001C000000}"/>
    <cellStyle name="Normal 13" xfId="16" xr:uid="{00000000-0005-0000-0000-000010000000}"/>
    <cellStyle name="Normal 14" xfId="29" xr:uid="{00000000-0005-0000-0000-00001D000000}"/>
    <cellStyle name="Normal 15" xfId="33" xr:uid="{00000000-0005-0000-0000-000021000000}"/>
    <cellStyle name="Normal 16" xfId="35" xr:uid="{00000000-0005-0000-0000-000023000000}"/>
    <cellStyle name="Normal 17" xfId="36" xr:uid="{00000000-0005-0000-0000-000024000000}"/>
    <cellStyle name="Normal 18" xfId="37" xr:uid="{00000000-0005-0000-0000-000025000000}"/>
    <cellStyle name="Normal 19" xfId="38" xr:uid="{00000000-0005-0000-0000-000026000000}"/>
    <cellStyle name="Normal 2" xfId="1" xr:uid="{00000000-0005-0000-0000-000001000000}"/>
    <cellStyle name="Normal 2 2" xfId="3" xr:uid="{00000000-0005-0000-0000-000003000000}"/>
    <cellStyle name="Normal 20" xfId="42" xr:uid="{00000000-0005-0000-0000-00002A000000}"/>
    <cellStyle name="Normal 21" xfId="2" xr:uid="{00000000-0005-0000-0000-000002000000}"/>
    <cellStyle name="Normal 22" xfId="44" xr:uid="{00000000-0005-0000-0000-00002C000000}"/>
    <cellStyle name="Normal 3" xfId="4" xr:uid="{00000000-0005-0000-0000-000004000000}"/>
    <cellStyle name="Normal 3 2" xfId="17" xr:uid="{00000000-0005-0000-0000-000011000000}"/>
    <cellStyle name="Normal 4" xfId="6" xr:uid="{00000000-0005-0000-0000-000006000000}"/>
    <cellStyle name="Normal 4 2" xfId="19" xr:uid="{00000000-0005-0000-0000-000013000000}"/>
    <cellStyle name="Normal 5" xfId="8" xr:uid="{00000000-0005-0000-0000-000008000000}"/>
    <cellStyle name="Normal 5 2" xfId="21" xr:uid="{00000000-0005-0000-0000-000015000000}"/>
    <cellStyle name="Normal 6" xfId="9" xr:uid="{00000000-0005-0000-0000-000009000000}"/>
    <cellStyle name="Normal 6 2" xfId="22" xr:uid="{00000000-0005-0000-0000-000016000000}"/>
    <cellStyle name="Normal 7" xfId="10" xr:uid="{00000000-0005-0000-0000-00000A000000}"/>
    <cellStyle name="Normal 7 2" xfId="23" xr:uid="{00000000-0005-0000-0000-000017000000}"/>
    <cellStyle name="Normal 8" xfId="11" xr:uid="{00000000-0005-0000-0000-00000B000000}"/>
    <cellStyle name="Normal 8 2" xfId="24" xr:uid="{00000000-0005-0000-0000-000018000000}"/>
    <cellStyle name="Normal 9" xfId="12" xr:uid="{00000000-0005-0000-0000-00000C000000}"/>
    <cellStyle name="Normal 9 2" xfId="25" xr:uid="{00000000-0005-0000-0000-000019000000}"/>
    <cellStyle name="ปกติ 2" xfId="30" xr:uid="{00000000-0005-0000-0000-00001E000000}"/>
    <cellStyle name="ปกติ 3" xfId="31" xr:uid="{00000000-0005-0000-0000-00001F000000}"/>
    <cellStyle name="ปกติ 4" xfId="32" xr:uid="{00000000-0005-0000-0000-000020000000}"/>
    <cellStyle name="ปกติ 5" xfId="34" xr:uid="{00000000-0005-0000-0000-000022000000}"/>
    <cellStyle name="ปกติ 6" xfId="39" xr:uid="{00000000-0005-0000-0000-000027000000}"/>
    <cellStyle name="ปกติ 7" xfId="40" xr:uid="{00000000-0005-0000-0000-000028000000}"/>
    <cellStyle name="ปกติ 8" xfId="41" xr:uid="{00000000-0005-0000-0000-000029000000}"/>
    <cellStyle name="ปกติ 9" xfId="43" xr:uid="{00000000-0005-0000-0000-00002B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8859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C000"/>
    <pageSetUpPr fitToPage="1"/>
  </sheetPr>
  <dimension ref="A1:AS60"/>
  <sheetViews>
    <sheetView showGridLines="0" zoomScaleNormal="100" workbookViewId="0">
      <selection activeCell="AQ43" sqref="AQ43"/>
    </sheetView>
  </sheetViews>
  <sheetFormatPr defaultColWidth="8.85546875" defaultRowHeight="16.899999999999999" customHeight="1" x14ac:dyDescent="0.25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 customWidth="1"/>
    <col min="43" max="43" width="10.140625" style="5" customWidth="1"/>
    <col min="44" max="44" width="8.85546875" style="5" customWidth="1"/>
    <col min="45" max="16384" width="8.85546875" style="5"/>
  </cols>
  <sheetData>
    <row r="1" spans="1:41" s="2" customFormat="1" ht="55.5" customHeight="1" thickBot="1" x14ac:dyDescent="0.3">
      <c r="A1" s="1" t="s">
        <v>0</v>
      </c>
      <c r="B1" s="1"/>
      <c r="V1" s="1"/>
      <c r="W1" s="1"/>
      <c r="AK1" s="2" t="s">
        <v>1</v>
      </c>
      <c r="AL1" s="120" t="s">
        <v>2</v>
      </c>
      <c r="AM1" s="121"/>
      <c r="AN1" s="121"/>
      <c r="AO1" s="121"/>
    </row>
    <row r="2" spans="1:41" s="3" customFormat="1" ht="16.899999999999999" customHeight="1" x14ac:dyDescent="0.25">
      <c r="A2" s="112" t="s">
        <v>3</v>
      </c>
      <c r="B2" s="113"/>
      <c r="C2" s="123" t="s">
        <v>4</v>
      </c>
      <c r="D2" s="118"/>
      <c r="E2" s="118"/>
      <c r="F2" s="118"/>
      <c r="G2" s="118"/>
      <c r="H2" s="118"/>
      <c r="I2" s="118"/>
      <c r="J2" s="118"/>
      <c r="K2" s="106"/>
      <c r="L2" s="109" t="s">
        <v>5</v>
      </c>
      <c r="M2" s="110"/>
      <c r="N2" s="110"/>
      <c r="O2" s="110"/>
      <c r="P2" s="110"/>
      <c r="Q2" s="111"/>
      <c r="R2" s="127" t="str">
        <f>AL1</f>
        <v>29/10/2026</v>
      </c>
      <c r="S2" s="110"/>
      <c r="T2" s="128"/>
      <c r="V2" s="112" t="s">
        <v>3</v>
      </c>
      <c r="W2" s="113"/>
      <c r="X2" s="123" t="s">
        <v>6</v>
      </c>
      <c r="Y2" s="118"/>
      <c r="Z2" s="118"/>
      <c r="AA2" s="118"/>
      <c r="AB2" s="118"/>
      <c r="AC2" s="118"/>
      <c r="AD2" s="118"/>
      <c r="AE2" s="118"/>
      <c r="AF2" s="106"/>
      <c r="AG2" s="109" t="s">
        <v>5</v>
      </c>
      <c r="AH2" s="110"/>
      <c r="AI2" s="110"/>
      <c r="AJ2" s="110"/>
      <c r="AK2" s="110"/>
      <c r="AL2" s="111"/>
      <c r="AM2" s="127" t="str">
        <f>R2</f>
        <v>29/10/2026</v>
      </c>
      <c r="AN2" s="110"/>
      <c r="AO2" s="128"/>
    </row>
    <row r="3" spans="1:41" ht="16.149999999999999" customHeight="1" x14ac:dyDescent="0.25">
      <c r="A3" s="114"/>
      <c r="B3" s="115"/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32" t="s">
        <v>15</v>
      </c>
      <c r="L3" s="53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14" t="s">
        <v>15</v>
      </c>
      <c r="V3" s="114"/>
      <c r="W3" s="115"/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32" t="s">
        <v>15</v>
      </c>
      <c r="AG3" s="53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14" t="s">
        <v>15</v>
      </c>
    </row>
    <row r="4" spans="1:41" ht="16.149999999999999" customHeight="1" x14ac:dyDescent="0.25">
      <c r="A4" s="8" t="s">
        <v>16</v>
      </c>
      <c r="B4" s="7" t="s">
        <v>17</v>
      </c>
      <c r="C4" s="54">
        <v>209</v>
      </c>
      <c r="D4" s="54"/>
      <c r="E4" s="54">
        <v>136</v>
      </c>
      <c r="F4" s="54">
        <v>2</v>
      </c>
      <c r="G4" s="54">
        <v>12</v>
      </c>
      <c r="H4" s="54"/>
      <c r="I4" s="54"/>
      <c r="J4" s="54"/>
      <c r="K4" s="55"/>
      <c r="L4" s="57">
        <v>90</v>
      </c>
      <c r="M4" s="58"/>
      <c r="N4" s="58">
        <v>42</v>
      </c>
      <c r="O4" s="58"/>
      <c r="P4" s="58"/>
      <c r="Q4" s="58"/>
      <c r="R4" s="58"/>
      <c r="S4" s="58"/>
      <c r="T4" s="59"/>
      <c r="V4" s="8" t="s">
        <v>18</v>
      </c>
      <c r="W4" s="7" t="s">
        <v>17</v>
      </c>
      <c r="X4" s="56">
        <v>95</v>
      </c>
      <c r="Y4" s="56"/>
      <c r="Z4" s="56">
        <v>89</v>
      </c>
      <c r="AA4" s="56">
        <v>1</v>
      </c>
      <c r="AB4" s="56">
        <v>7</v>
      </c>
      <c r="AC4" s="56"/>
      <c r="AD4" s="56">
        <v>1</v>
      </c>
      <c r="AE4" s="56"/>
      <c r="AF4" s="61">
        <v>2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 x14ac:dyDescent="0.25">
      <c r="A5" s="8" t="s">
        <v>19</v>
      </c>
      <c r="B5" s="7" t="s">
        <v>17</v>
      </c>
      <c r="C5" s="54">
        <v>27</v>
      </c>
      <c r="D5" s="54"/>
      <c r="E5" s="54">
        <v>18</v>
      </c>
      <c r="F5" s="54"/>
      <c r="G5" s="54"/>
      <c r="H5" s="54"/>
      <c r="I5" s="54"/>
      <c r="J5" s="54"/>
      <c r="K5" s="55"/>
      <c r="L5" s="57">
        <v>189</v>
      </c>
      <c r="M5" s="58"/>
      <c r="N5" s="58">
        <v>45</v>
      </c>
      <c r="O5" s="58"/>
      <c r="P5" s="58"/>
      <c r="Q5" s="58"/>
      <c r="R5" s="58"/>
      <c r="S5" s="58"/>
      <c r="T5" s="59"/>
      <c r="V5" s="8" t="s">
        <v>20</v>
      </c>
      <c r="W5" s="7" t="s">
        <v>17</v>
      </c>
      <c r="X5" s="54">
        <v>105</v>
      </c>
      <c r="Y5" s="54"/>
      <c r="Z5" s="54">
        <v>76</v>
      </c>
      <c r="AA5" s="56"/>
      <c r="AB5" s="56"/>
      <c r="AC5" s="56"/>
      <c r="AD5" s="56"/>
      <c r="AE5" s="56"/>
      <c r="AF5" s="61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 x14ac:dyDescent="0.15">
      <c r="A6" s="80"/>
      <c r="B6" s="81"/>
      <c r="C6" s="54"/>
      <c r="D6" s="54"/>
      <c r="E6" s="54"/>
      <c r="F6" s="56"/>
      <c r="G6" s="60"/>
      <c r="H6" s="56"/>
      <c r="I6" s="56"/>
      <c r="J6" s="56"/>
      <c r="K6" s="61"/>
      <c r="L6" s="57"/>
      <c r="M6" s="58"/>
      <c r="N6" s="58"/>
      <c r="O6" s="58"/>
      <c r="P6" s="58"/>
      <c r="Q6" s="58"/>
      <c r="R6" s="58"/>
      <c r="S6" s="58"/>
      <c r="T6" s="59"/>
      <c r="V6" s="84"/>
      <c r="W6" s="7" t="s">
        <v>17</v>
      </c>
      <c r="X6" s="54"/>
      <c r="Y6" s="54"/>
      <c r="Z6" s="54"/>
      <c r="AA6" s="56"/>
      <c r="AB6" s="56"/>
      <c r="AC6" s="56"/>
      <c r="AD6" s="56"/>
      <c r="AE6" s="56"/>
      <c r="AF6" s="61"/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 x14ac:dyDescent="0.25">
      <c r="A7" s="76" t="s">
        <v>21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1"/>
      <c r="L7" s="57">
        <v>52</v>
      </c>
      <c r="M7" s="58"/>
      <c r="N7" s="58">
        <v>61</v>
      </c>
      <c r="O7" s="58"/>
      <c r="P7" s="58"/>
      <c r="Q7" s="58"/>
      <c r="R7" s="58"/>
      <c r="S7" s="58"/>
      <c r="T7" s="59"/>
      <c r="V7" s="8" t="s">
        <v>23</v>
      </c>
      <c r="W7" s="7" t="s">
        <v>17</v>
      </c>
      <c r="X7" s="56">
        <v>11</v>
      </c>
      <c r="Y7" s="56"/>
      <c r="Z7" s="56">
        <v>25</v>
      </c>
      <c r="AA7" s="56"/>
      <c r="AB7" s="56"/>
      <c r="AC7" s="56"/>
      <c r="AD7" s="56"/>
      <c r="AE7" s="56"/>
      <c r="AF7" s="61">
        <v>2</v>
      </c>
      <c r="AG7" s="57"/>
      <c r="AH7" s="58"/>
      <c r="AI7" s="58"/>
      <c r="AJ7" s="58"/>
      <c r="AK7" s="58"/>
      <c r="AL7" s="58"/>
      <c r="AM7" s="58"/>
      <c r="AN7" s="58"/>
      <c r="AO7" s="59"/>
    </row>
    <row r="8" spans="1:41" ht="16.149999999999999" customHeight="1" x14ac:dyDescent="0.25">
      <c r="A8" s="8" t="s">
        <v>24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1"/>
      <c r="L8" s="57">
        <v>1202</v>
      </c>
      <c r="M8" s="58"/>
      <c r="N8" s="62">
        <v>632</v>
      </c>
      <c r="O8" s="58">
        <v>29</v>
      </c>
      <c r="P8" s="58">
        <v>26</v>
      </c>
      <c r="Q8" s="58"/>
      <c r="R8" s="58">
        <v>2</v>
      </c>
      <c r="S8" s="58"/>
      <c r="T8" s="59">
        <v>1</v>
      </c>
      <c r="V8" s="8" t="s">
        <v>25</v>
      </c>
      <c r="W8" s="7" t="s">
        <v>17</v>
      </c>
      <c r="X8" s="54">
        <v>1</v>
      </c>
      <c r="Y8" s="54"/>
      <c r="Z8" s="54">
        <v>4</v>
      </c>
      <c r="AA8" s="56"/>
      <c r="AB8" s="56"/>
      <c r="AC8" s="56"/>
      <c r="AD8" s="56"/>
      <c r="AE8" s="56"/>
      <c r="AF8" s="61"/>
      <c r="AG8" s="57"/>
      <c r="AH8" s="58"/>
      <c r="AI8" s="58"/>
      <c r="AJ8" s="58"/>
      <c r="AK8" s="58"/>
      <c r="AL8" s="58"/>
      <c r="AM8" s="58"/>
      <c r="AN8" s="58"/>
      <c r="AO8" s="59"/>
    </row>
    <row r="9" spans="1:41" ht="16.149999999999999" customHeight="1" x14ac:dyDescent="0.25">
      <c r="A9" s="8" t="s">
        <v>26</v>
      </c>
      <c r="B9" s="7" t="s">
        <v>27</v>
      </c>
      <c r="C9" s="54">
        <v>52</v>
      </c>
      <c r="D9" s="54"/>
      <c r="E9" s="54">
        <v>7</v>
      </c>
      <c r="F9" s="56"/>
      <c r="G9" s="56"/>
      <c r="H9" s="56"/>
      <c r="I9" s="56"/>
      <c r="J9" s="56"/>
      <c r="K9" s="61"/>
      <c r="L9" s="57"/>
      <c r="M9" s="58"/>
      <c r="N9" s="58">
        <v>1</v>
      </c>
      <c r="O9" s="58"/>
      <c r="P9" s="58"/>
      <c r="Q9" s="58"/>
      <c r="R9" s="58"/>
      <c r="S9" s="58"/>
      <c r="T9" s="59"/>
      <c r="V9" s="8" t="s">
        <v>28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1"/>
      <c r="AG9" s="57">
        <v>1272</v>
      </c>
      <c r="AH9" s="58">
        <v>2</v>
      </c>
      <c r="AI9" s="58">
        <v>734</v>
      </c>
      <c r="AJ9" s="58">
        <v>4</v>
      </c>
      <c r="AK9" s="58">
        <v>44</v>
      </c>
      <c r="AL9" s="58"/>
      <c r="AM9" s="58">
        <v>6</v>
      </c>
      <c r="AN9" s="58">
        <v>1</v>
      </c>
      <c r="AO9" s="59">
        <v>7</v>
      </c>
    </row>
    <row r="10" spans="1:41" ht="16.149999999999999" customHeight="1" x14ac:dyDescent="0.25">
      <c r="A10" s="83"/>
      <c r="B10" s="81"/>
      <c r="C10" s="56"/>
      <c r="D10" s="56"/>
      <c r="E10" s="56"/>
      <c r="F10" s="56"/>
      <c r="G10" s="56"/>
      <c r="H10" s="56"/>
      <c r="I10" s="56"/>
      <c r="J10" s="56"/>
      <c r="K10" s="61"/>
      <c r="L10" s="57"/>
      <c r="M10" s="58"/>
      <c r="N10" s="58"/>
      <c r="O10" s="58"/>
      <c r="P10" s="58"/>
      <c r="Q10" s="58"/>
      <c r="R10" s="58"/>
      <c r="S10" s="58"/>
      <c r="T10" s="59"/>
      <c r="V10" s="8" t="s">
        <v>29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1"/>
      <c r="AG10" s="57">
        <v>167</v>
      </c>
      <c r="AH10" s="58"/>
      <c r="AI10" s="58">
        <v>177</v>
      </c>
      <c r="AJ10" s="58"/>
      <c r="AK10" s="58"/>
      <c r="AL10" s="58"/>
      <c r="AM10" s="58"/>
      <c r="AN10" s="58"/>
      <c r="AO10" s="59"/>
    </row>
    <row r="11" spans="1:41" ht="16.149999999999999" customHeight="1" x14ac:dyDescent="0.25">
      <c r="A11" s="8" t="s">
        <v>23</v>
      </c>
      <c r="B11" s="7" t="s">
        <v>27</v>
      </c>
      <c r="C11" s="56"/>
      <c r="D11" s="56"/>
      <c r="E11" s="56"/>
      <c r="F11" s="56"/>
      <c r="G11" s="56">
        <v>1</v>
      </c>
      <c r="H11" s="56"/>
      <c r="I11" s="56"/>
      <c r="J11" s="56"/>
      <c r="K11" s="61"/>
      <c r="L11" s="57">
        <v>15</v>
      </c>
      <c r="M11" s="58"/>
      <c r="N11" s="58">
        <v>6</v>
      </c>
      <c r="O11" s="58"/>
      <c r="P11" s="58"/>
      <c r="Q11" s="58"/>
      <c r="R11" s="58"/>
      <c r="S11" s="58"/>
      <c r="T11" s="59"/>
      <c r="V11" s="8" t="s">
        <v>30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1"/>
      <c r="AG11" s="57">
        <v>337</v>
      </c>
      <c r="AH11" s="58"/>
      <c r="AI11" s="58">
        <v>317</v>
      </c>
      <c r="AJ11" s="58">
        <v>1</v>
      </c>
      <c r="AK11" s="58"/>
      <c r="AL11" s="58"/>
      <c r="AM11" s="58"/>
      <c r="AN11" s="58"/>
      <c r="AO11" s="59"/>
    </row>
    <row r="12" spans="1:41" ht="16.149999999999999" customHeight="1" x14ac:dyDescent="0.25">
      <c r="A12" s="71"/>
      <c r="B12" s="7"/>
      <c r="C12" s="85"/>
      <c r="D12" s="85"/>
      <c r="E12" s="85"/>
      <c r="F12" s="85"/>
      <c r="G12" s="85"/>
      <c r="H12" s="85"/>
      <c r="I12" s="85"/>
      <c r="J12" s="85"/>
      <c r="K12" s="86"/>
      <c r="L12" s="87"/>
      <c r="M12" s="88"/>
      <c r="N12" s="88"/>
      <c r="O12" s="88"/>
      <c r="P12" s="88"/>
      <c r="Q12" s="88"/>
      <c r="R12" s="85"/>
      <c r="S12" s="88"/>
      <c r="T12" s="89"/>
      <c r="V12" s="8" t="s">
        <v>31</v>
      </c>
      <c r="W12" s="7" t="s">
        <v>27</v>
      </c>
      <c r="X12" s="56">
        <v>3</v>
      </c>
      <c r="Y12" s="56"/>
      <c r="Z12" s="56">
        <v>1</v>
      </c>
      <c r="AA12" s="56"/>
      <c r="AB12" s="63"/>
      <c r="AC12" s="56"/>
      <c r="AD12" s="56"/>
      <c r="AE12" s="56"/>
      <c r="AF12" s="61"/>
      <c r="AG12" s="57"/>
      <c r="AH12" s="58"/>
      <c r="AI12" s="58"/>
      <c r="AJ12" s="58"/>
      <c r="AK12" s="58"/>
      <c r="AL12" s="58"/>
      <c r="AM12" s="58"/>
      <c r="AN12" s="58"/>
      <c r="AO12" s="59"/>
    </row>
    <row r="13" spans="1:41" ht="16.149999999999999" customHeight="1" x14ac:dyDescent="0.25">
      <c r="A13" s="9" t="s">
        <v>32</v>
      </c>
      <c r="B13" s="9"/>
      <c r="C13" s="90"/>
      <c r="D13" s="90"/>
      <c r="E13" s="90"/>
      <c r="F13" s="90"/>
      <c r="G13" s="90"/>
      <c r="H13" s="90"/>
      <c r="I13" s="90"/>
      <c r="J13" s="90"/>
      <c r="K13" s="91"/>
      <c r="L13" s="92"/>
      <c r="M13" s="93"/>
      <c r="N13" s="93"/>
      <c r="O13" s="93"/>
      <c r="P13" s="93"/>
      <c r="Q13" s="93"/>
      <c r="R13" s="93"/>
      <c r="S13" s="93"/>
      <c r="T13" s="94"/>
      <c r="V13" s="64" t="s">
        <v>32</v>
      </c>
      <c r="W13" s="9"/>
      <c r="X13" s="90"/>
      <c r="Y13" s="90"/>
      <c r="Z13" s="90"/>
      <c r="AA13" s="95"/>
      <c r="AB13" s="90"/>
      <c r="AC13" s="90"/>
      <c r="AD13" s="90"/>
      <c r="AE13" s="90"/>
      <c r="AF13" s="91"/>
      <c r="AG13" s="92"/>
      <c r="AH13" s="93"/>
      <c r="AI13" s="93"/>
      <c r="AJ13" s="93"/>
      <c r="AK13" s="93"/>
      <c r="AL13" s="93"/>
      <c r="AM13" s="93"/>
      <c r="AN13" s="93"/>
      <c r="AO13" s="94"/>
    </row>
    <row r="14" spans="1:41" ht="16.149999999999999" customHeight="1" x14ac:dyDescent="0.25">
      <c r="A14" s="64" t="s">
        <v>33</v>
      </c>
      <c r="B14" s="11"/>
      <c r="C14" s="96"/>
      <c r="D14" s="96"/>
      <c r="E14" s="96"/>
      <c r="F14" s="97"/>
      <c r="G14" s="97"/>
      <c r="H14" s="97"/>
      <c r="I14" s="97"/>
      <c r="J14" s="97"/>
      <c r="K14" s="98"/>
      <c r="L14" s="92"/>
      <c r="M14" s="99"/>
      <c r="N14" s="99"/>
      <c r="O14" s="93"/>
      <c r="P14" s="93"/>
      <c r="Q14" s="99"/>
      <c r="R14" s="99"/>
      <c r="S14" s="99"/>
      <c r="T14" s="100"/>
      <c r="V14" s="64" t="s">
        <v>33</v>
      </c>
      <c r="W14" s="9"/>
      <c r="X14" s="64"/>
      <c r="Y14" s="64"/>
      <c r="Z14" s="64"/>
      <c r="AA14" s="64"/>
      <c r="AB14" s="64"/>
      <c r="AC14" s="64"/>
      <c r="AD14" s="64"/>
      <c r="AE14" s="64"/>
      <c r="AF14" s="65"/>
      <c r="AG14" s="36">
        <v>297</v>
      </c>
      <c r="AH14" s="10"/>
      <c r="AI14" s="10">
        <v>20</v>
      </c>
      <c r="AJ14" s="10"/>
      <c r="AK14" s="10"/>
      <c r="AL14" s="31"/>
      <c r="AM14" s="31"/>
      <c r="AN14" s="31"/>
      <c r="AO14" s="20"/>
    </row>
    <row r="15" spans="1:41" ht="21" customHeight="1" thickBot="1" x14ac:dyDescent="0.3">
      <c r="A15" s="105" t="s">
        <v>34</v>
      </c>
      <c r="B15" s="106"/>
      <c r="C15" s="56">
        <f t="shared" ref="C15:T15" si="0">SUM(C4:C14)</f>
        <v>288</v>
      </c>
      <c r="D15" s="56">
        <f t="shared" si="0"/>
        <v>0</v>
      </c>
      <c r="E15" s="56">
        <f t="shared" si="0"/>
        <v>161</v>
      </c>
      <c r="F15" s="56">
        <f t="shared" si="0"/>
        <v>2</v>
      </c>
      <c r="G15" s="56">
        <f t="shared" si="0"/>
        <v>13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68">
        <f t="shared" si="0"/>
        <v>1548</v>
      </c>
      <c r="M15" s="69">
        <f t="shared" si="0"/>
        <v>0</v>
      </c>
      <c r="N15" s="69">
        <f t="shared" si="0"/>
        <v>787</v>
      </c>
      <c r="O15" s="69">
        <f t="shared" si="0"/>
        <v>29</v>
      </c>
      <c r="P15" s="69">
        <f t="shared" si="0"/>
        <v>26</v>
      </c>
      <c r="Q15" s="69">
        <f t="shared" si="0"/>
        <v>0</v>
      </c>
      <c r="R15" s="69">
        <f t="shared" si="0"/>
        <v>2</v>
      </c>
      <c r="S15" s="69">
        <f t="shared" si="0"/>
        <v>0</v>
      </c>
      <c r="T15" s="70">
        <f t="shared" si="0"/>
        <v>1</v>
      </c>
      <c r="V15" s="105" t="s">
        <v>35</v>
      </c>
      <c r="W15" s="106"/>
      <c r="X15" s="56">
        <f t="shared" ref="X15:AO15" si="1">SUM(X4:X14)</f>
        <v>215</v>
      </c>
      <c r="Y15" s="56">
        <f t="shared" si="1"/>
        <v>0</v>
      </c>
      <c r="Z15" s="56">
        <f t="shared" si="1"/>
        <v>195</v>
      </c>
      <c r="AA15" s="8">
        <f t="shared" si="1"/>
        <v>1</v>
      </c>
      <c r="AB15" s="56">
        <f t="shared" si="1"/>
        <v>7</v>
      </c>
      <c r="AC15" s="8">
        <f t="shared" si="1"/>
        <v>0</v>
      </c>
      <c r="AD15" s="8">
        <f t="shared" si="1"/>
        <v>1</v>
      </c>
      <c r="AE15" s="8">
        <f t="shared" si="1"/>
        <v>0</v>
      </c>
      <c r="AF15" s="34">
        <f t="shared" si="1"/>
        <v>4</v>
      </c>
      <c r="AG15" s="38">
        <f t="shared" si="1"/>
        <v>2073</v>
      </c>
      <c r="AH15" s="24">
        <f t="shared" si="1"/>
        <v>2</v>
      </c>
      <c r="AI15" s="24">
        <f t="shared" si="1"/>
        <v>1248</v>
      </c>
      <c r="AJ15" s="24">
        <f t="shared" si="1"/>
        <v>5</v>
      </c>
      <c r="AK15" s="24">
        <f t="shared" si="1"/>
        <v>44</v>
      </c>
      <c r="AL15" s="24">
        <f t="shared" si="1"/>
        <v>0</v>
      </c>
      <c r="AM15" s="24">
        <f t="shared" si="1"/>
        <v>6</v>
      </c>
      <c r="AN15" s="24">
        <f t="shared" si="1"/>
        <v>1</v>
      </c>
      <c r="AO15" s="25">
        <f t="shared" si="1"/>
        <v>7</v>
      </c>
    </row>
    <row r="16" spans="1:41" ht="16.350000000000001" hidden="1" customHeight="1" x14ac:dyDescent="0.25"/>
    <row r="17" spans="1:41" ht="16.350000000000001" hidden="1" customHeight="1" x14ac:dyDescent="0.25">
      <c r="A17" s="125" t="s">
        <v>3</v>
      </c>
      <c r="B17" s="12"/>
      <c r="C17" s="124"/>
      <c r="D17" s="110"/>
      <c r="E17" s="110"/>
      <c r="F17" s="110"/>
      <c r="G17" s="110"/>
      <c r="H17" s="110"/>
      <c r="I17" s="110"/>
      <c r="J17" s="110"/>
      <c r="K17" s="111"/>
      <c r="L17" s="122" t="s">
        <v>36</v>
      </c>
      <c r="M17" s="110"/>
      <c r="N17" s="110"/>
      <c r="O17" s="110"/>
      <c r="P17" s="110"/>
      <c r="Q17" s="110"/>
      <c r="R17" s="110"/>
      <c r="S17" s="110"/>
      <c r="T17" s="111"/>
      <c r="V17" s="125" t="s">
        <v>3</v>
      </c>
      <c r="W17" s="12"/>
      <c r="X17" s="124"/>
      <c r="Y17" s="110"/>
      <c r="Z17" s="110"/>
      <c r="AA17" s="110"/>
      <c r="AB17" s="110"/>
      <c r="AC17" s="110"/>
      <c r="AD17" s="110"/>
      <c r="AE17" s="110"/>
      <c r="AF17" s="111"/>
      <c r="AG17" s="122" t="s">
        <v>36</v>
      </c>
      <c r="AH17" s="110"/>
      <c r="AI17" s="110"/>
      <c r="AJ17" s="110"/>
      <c r="AK17" s="110"/>
      <c r="AL17" s="110"/>
      <c r="AM17" s="110"/>
      <c r="AN17" s="110"/>
      <c r="AO17" s="111"/>
    </row>
    <row r="18" spans="1:41" ht="16.350000000000001" hidden="1" customHeight="1" x14ac:dyDescent="0.25">
      <c r="A18" s="126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7</v>
      </c>
      <c r="M18" s="4" t="s">
        <v>8</v>
      </c>
      <c r="N18" s="4" t="s">
        <v>9</v>
      </c>
      <c r="O18" s="4" t="s">
        <v>10</v>
      </c>
      <c r="P18" s="4" t="s">
        <v>11</v>
      </c>
      <c r="Q18" s="4" t="s">
        <v>12</v>
      </c>
      <c r="R18" s="4" t="s">
        <v>13</v>
      </c>
      <c r="S18" s="4" t="s">
        <v>14</v>
      </c>
      <c r="T18" s="14" t="s">
        <v>15</v>
      </c>
      <c r="V18" s="126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7</v>
      </c>
      <c r="AH18" s="4" t="s">
        <v>8</v>
      </c>
      <c r="AI18" s="4" t="s">
        <v>9</v>
      </c>
      <c r="AJ18" s="4" t="s">
        <v>10</v>
      </c>
      <c r="AK18" s="4" t="s">
        <v>11</v>
      </c>
      <c r="AL18" s="4" t="s">
        <v>12</v>
      </c>
      <c r="AM18" s="4" t="s">
        <v>13</v>
      </c>
      <c r="AN18" s="4" t="s">
        <v>14</v>
      </c>
      <c r="AO18" s="14" t="s">
        <v>15</v>
      </c>
    </row>
    <row r="19" spans="1:41" ht="16.350000000000001" hidden="1" customHeight="1" x14ac:dyDescent="0.25">
      <c r="A19" s="15" t="s">
        <v>37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37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 x14ac:dyDescent="0.25">
      <c r="A20" s="15" t="s">
        <v>32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32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 x14ac:dyDescent="0.25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 x14ac:dyDescent="0.25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 x14ac:dyDescent="0.3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 x14ac:dyDescent="0.25">
      <c r="A24" s="21" t="s">
        <v>34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34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 x14ac:dyDescent="0.25"/>
    <row r="26" spans="1:41" ht="7.9" hidden="1" customHeight="1" x14ac:dyDescent="0.25"/>
    <row r="27" spans="1:41" ht="7.9" hidden="1" customHeight="1" x14ac:dyDescent="0.25"/>
    <row r="28" spans="1:41" s="3" customFormat="1" ht="11.25" customHeight="1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 x14ac:dyDescent="0.25">
      <c r="A29" s="112" t="s">
        <v>3</v>
      </c>
      <c r="B29" s="113"/>
      <c r="C29" s="119" t="s">
        <v>38</v>
      </c>
      <c r="D29" s="118"/>
      <c r="E29" s="118"/>
      <c r="F29" s="118"/>
      <c r="G29" s="118"/>
      <c r="H29" s="106"/>
      <c r="I29" s="29" t="s">
        <v>39</v>
      </c>
      <c r="J29" s="30"/>
      <c r="K29" s="30"/>
      <c r="L29" s="109" t="s">
        <v>36</v>
      </c>
      <c r="M29" s="110"/>
      <c r="N29" s="110"/>
      <c r="O29" s="110"/>
      <c r="P29" s="110"/>
      <c r="Q29" s="110"/>
      <c r="R29" s="110"/>
      <c r="S29" s="110"/>
      <c r="T29" s="111"/>
      <c r="V29" s="112" t="s">
        <v>3</v>
      </c>
      <c r="W29" s="113"/>
      <c r="X29" s="119" t="str">
        <f>C29</f>
        <v>BOOKING W 1</v>
      </c>
      <c r="Y29" s="118"/>
      <c r="Z29" s="118"/>
      <c r="AA29" s="118"/>
      <c r="AB29" s="118"/>
      <c r="AC29" s="106"/>
      <c r="AD29" s="66" t="str">
        <f>I29</f>
        <v>29-01/11/2026</v>
      </c>
      <c r="AE29" s="67"/>
      <c r="AF29" s="67"/>
      <c r="AG29" s="109" t="s">
        <v>36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 x14ac:dyDescent="0.25">
      <c r="A30" s="114"/>
      <c r="B30" s="115"/>
      <c r="C30" s="4" t="s">
        <v>7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12</v>
      </c>
      <c r="I30" s="4" t="s">
        <v>13</v>
      </c>
      <c r="J30" s="4" t="s">
        <v>14</v>
      </c>
      <c r="K30" s="32" t="s">
        <v>15</v>
      </c>
      <c r="L30" s="53" t="s">
        <v>7</v>
      </c>
      <c r="M30" s="4" t="s">
        <v>8</v>
      </c>
      <c r="N30" s="4" t="s">
        <v>9</v>
      </c>
      <c r="O30" s="4" t="s">
        <v>10</v>
      </c>
      <c r="P30" s="4" t="s">
        <v>11</v>
      </c>
      <c r="Q30" s="4" t="s">
        <v>12</v>
      </c>
      <c r="R30" s="4" t="s">
        <v>13</v>
      </c>
      <c r="S30" s="4" t="s">
        <v>14</v>
      </c>
      <c r="T30" s="14" t="s">
        <v>15</v>
      </c>
      <c r="V30" s="114"/>
      <c r="W30" s="115"/>
      <c r="X30" s="4" t="s">
        <v>7</v>
      </c>
      <c r="Y30" s="4" t="s">
        <v>8</v>
      </c>
      <c r="Z30" s="4" t="s">
        <v>9</v>
      </c>
      <c r="AA30" s="4" t="s">
        <v>10</v>
      </c>
      <c r="AB30" s="4" t="s">
        <v>11</v>
      </c>
      <c r="AC30" s="4" t="s">
        <v>12</v>
      </c>
      <c r="AD30" s="4" t="s">
        <v>13</v>
      </c>
      <c r="AE30" s="4" t="s">
        <v>14</v>
      </c>
      <c r="AF30" s="32" t="s">
        <v>15</v>
      </c>
      <c r="AG30" s="53" t="s">
        <v>7</v>
      </c>
      <c r="AH30" s="4" t="s">
        <v>8</v>
      </c>
      <c r="AI30" s="4" t="s">
        <v>9</v>
      </c>
      <c r="AJ30" s="4" t="s">
        <v>10</v>
      </c>
      <c r="AK30" s="4" t="s">
        <v>11</v>
      </c>
      <c r="AL30" s="4" t="s">
        <v>12</v>
      </c>
      <c r="AM30" s="4" t="s">
        <v>13</v>
      </c>
      <c r="AN30" s="4" t="s">
        <v>14</v>
      </c>
      <c r="AO30" s="14" t="s">
        <v>15</v>
      </c>
    </row>
    <row r="31" spans="1:41" ht="16.149999999999999" customHeight="1" x14ac:dyDescent="0.25">
      <c r="A31" s="6" t="s">
        <v>16</v>
      </c>
      <c r="B31" s="7" t="s">
        <v>17</v>
      </c>
      <c r="C31" s="56">
        <v>18</v>
      </c>
      <c r="D31" s="56"/>
      <c r="E31" s="56">
        <v>19</v>
      </c>
      <c r="F31" s="56"/>
      <c r="G31" s="56"/>
      <c r="H31" s="56"/>
      <c r="I31" s="56"/>
      <c r="J31" s="56"/>
      <c r="K31" s="56"/>
      <c r="L31" s="57">
        <f t="shared" ref="L31:T32" si="2">SUM(L4-C31)</f>
        <v>72</v>
      </c>
      <c r="M31" s="58">
        <f t="shared" si="2"/>
        <v>0</v>
      </c>
      <c r="N31" s="58">
        <f t="shared" si="2"/>
        <v>23</v>
      </c>
      <c r="O31" s="58">
        <f t="shared" si="2"/>
        <v>0</v>
      </c>
      <c r="P31" s="58">
        <f t="shared" si="2"/>
        <v>0</v>
      </c>
      <c r="Q31" s="58">
        <f t="shared" si="2"/>
        <v>0</v>
      </c>
      <c r="R31" s="58">
        <f t="shared" si="2"/>
        <v>0</v>
      </c>
      <c r="S31" s="58">
        <f t="shared" si="2"/>
        <v>0</v>
      </c>
      <c r="T31" s="59">
        <f t="shared" si="2"/>
        <v>0</v>
      </c>
      <c r="V31" s="8" t="s">
        <v>18</v>
      </c>
      <c r="W31" s="7" t="s">
        <v>17</v>
      </c>
      <c r="X31" s="54"/>
      <c r="Y31" s="54"/>
      <c r="Z31" s="54"/>
      <c r="AA31" s="54"/>
      <c r="AB31" s="54"/>
      <c r="AC31" s="54"/>
      <c r="AD31" s="54"/>
      <c r="AE31" s="54"/>
      <c r="AF31" s="55"/>
      <c r="AG31" s="57">
        <f t="shared" ref="AG31:AG40" si="3">SUM(AG4-X31)</f>
        <v>0</v>
      </c>
      <c r="AH31" s="58">
        <f t="shared" ref="AH31:AH40" si="4">SUM(AH4-Y31)</f>
        <v>0</v>
      </c>
      <c r="AI31" s="58">
        <f t="shared" ref="AI31:AI40" si="5">SUM(AI4-Z31)</f>
        <v>0</v>
      </c>
      <c r="AJ31" s="58">
        <f t="shared" ref="AJ31:AJ40" si="6">SUM(AJ4-AA31)</f>
        <v>0</v>
      </c>
      <c r="AK31" s="58">
        <f t="shared" ref="AK31:AK40" si="7">SUM(AK4-AB31)</f>
        <v>0</v>
      </c>
      <c r="AL31" s="58">
        <f t="shared" ref="AL31:AL40" si="8">SUM(AL4-AC31)</f>
        <v>0</v>
      </c>
      <c r="AM31" s="58">
        <f t="shared" ref="AM31:AM40" si="9">SUM(AM4-AD31)</f>
        <v>0</v>
      </c>
      <c r="AN31" s="58">
        <f t="shared" ref="AN31:AN40" si="10">SUM(AN4-AE31)</f>
        <v>0</v>
      </c>
      <c r="AO31" s="59">
        <f t="shared" ref="AO31:AO40" si="11">SUM(AO4-AF31)</f>
        <v>0</v>
      </c>
    </row>
    <row r="32" spans="1:41" ht="16.149999999999999" customHeight="1" x14ac:dyDescent="0.25">
      <c r="A32" s="6" t="s">
        <v>19</v>
      </c>
      <c r="B32" s="7" t="s">
        <v>17</v>
      </c>
      <c r="C32" s="54">
        <v>12</v>
      </c>
      <c r="D32" s="54"/>
      <c r="E32" s="54">
        <v>10</v>
      </c>
      <c r="F32" s="54"/>
      <c r="G32" s="54"/>
      <c r="H32" s="54"/>
      <c r="I32" s="54"/>
      <c r="J32" s="54"/>
      <c r="K32" s="54"/>
      <c r="L32" s="57">
        <f t="shared" si="2"/>
        <v>177</v>
      </c>
      <c r="M32" s="58">
        <f t="shared" si="2"/>
        <v>0</v>
      </c>
      <c r="N32" s="58">
        <f t="shared" si="2"/>
        <v>35</v>
      </c>
      <c r="O32" s="58">
        <f t="shared" si="2"/>
        <v>0</v>
      </c>
      <c r="P32" s="58">
        <f t="shared" si="2"/>
        <v>0</v>
      </c>
      <c r="Q32" s="58">
        <f t="shared" si="2"/>
        <v>0</v>
      </c>
      <c r="R32" s="58">
        <f t="shared" si="2"/>
        <v>0</v>
      </c>
      <c r="S32" s="58">
        <f t="shared" si="2"/>
        <v>0</v>
      </c>
      <c r="T32" s="59">
        <f t="shared" si="2"/>
        <v>0</v>
      </c>
      <c r="V32" s="8" t="s">
        <v>40</v>
      </c>
      <c r="W32" s="7" t="s">
        <v>17</v>
      </c>
      <c r="X32" s="54"/>
      <c r="Y32" s="54"/>
      <c r="Z32" s="54"/>
      <c r="AA32" s="54"/>
      <c r="AB32" s="54"/>
      <c r="AC32" s="54"/>
      <c r="AD32" s="54"/>
      <c r="AE32" s="54"/>
      <c r="AF32" s="55"/>
      <c r="AG32" s="57">
        <f t="shared" si="3"/>
        <v>0</v>
      </c>
      <c r="AH32" s="58">
        <f t="shared" si="4"/>
        <v>0</v>
      </c>
      <c r="AI32" s="58">
        <f t="shared" si="5"/>
        <v>0</v>
      </c>
      <c r="AJ32" s="58">
        <f t="shared" si="6"/>
        <v>0</v>
      </c>
      <c r="AK32" s="58">
        <f t="shared" si="7"/>
        <v>0</v>
      </c>
      <c r="AL32" s="58">
        <f t="shared" si="8"/>
        <v>0</v>
      </c>
      <c r="AM32" s="58">
        <f t="shared" si="9"/>
        <v>0</v>
      </c>
      <c r="AN32" s="58">
        <f t="shared" si="10"/>
        <v>0</v>
      </c>
      <c r="AO32" s="59">
        <f t="shared" si="11"/>
        <v>0</v>
      </c>
    </row>
    <row r="33" spans="1:45" ht="16.149999999999999" customHeight="1" x14ac:dyDescent="0.25">
      <c r="A33" s="80"/>
      <c r="B33" s="81"/>
      <c r="C33" s="101"/>
      <c r="D33" s="101"/>
      <c r="E33" s="101"/>
      <c r="F33" s="101"/>
      <c r="G33" s="101"/>
      <c r="H33" s="101"/>
      <c r="I33" s="101"/>
      <c r="J33" s="101"/>
      <c r="K33" s="102"/>
      <c r="L33" s="57"/>
      <c r="M33" s="58"/>
      <c r="N33" s="58">
        <f t="shared" ref="N33:T38" si="12">SUM(N6-E33)</f>
        <v>0</v>
      </c>
      <c r="O33" s="58">
        <f t="shared" si="12"/>
        <v>0</v>
      </c>
      <c r="P33" s="58">
        <f t="shared" si="12"/>
        <v>0</v>
      </c>
      <c r="Q33" s="58">
        <f t="shared" si="12"/>
        <v>0</v>
      </c>
      <c r="R33" s="58">
        <f t="shared" si="12"/>
        <v>0</v>
      </c>
      <c r="S33" s="58">
        <f t="shared" si="12"/>
        <v>0</v>
      </c>
      <c r="T33" s="59">
        <f t="shared" si="12"/>
        <v>0</v>
      </c>
      <c r="V33" s="8" t="s">
        <v>41</v>
      </c>
      <c r="W33" s="7" t="s">
        <v>17</v>
      </c>
      <c r="X33" s="54"/>
      <c r="Y33" s="54"/>
      <c r="Z33" s="54"/>
      <c r="AA33" s="54"/>
      <c r="AB33" s="54"/>
      <c r="AC33" s="54"/>
      <c r="AD33" s="54"/>
      <c r="AE33" s="54"/>
      <c r="AF33" s="55"/>
      <c r="AG33" s="57">
        <f t="shared" si="3"/>
        <v>0</v>
      </c>
      <c r="AH33" s="58">
        <f t="shared" si="4"/>
        <v>0</v>
      </c>
      <c r="AI33" s="58">
        <f t="shared" si="5"/>
        <v>0</v>
      </c>
      <c r="AJ33" s="58">
        <f t="shared" si="6"/>
        <v>0</v>
      </c>
      <c r="AK33" s="58">
        <f t="shared" si="7"/>
        <v>0</v>
      </c>
      <c r="AL33" s="58">
        <f t="shared" si="8"/>
        <v>0</v>
      </c>
      <c r="AM33" s="58">
        <f t="shared" si="9"/>
        <v>0</v>
      </c>
      <c r="AN33" s="58">
        <f t="shared" si="10"/>
        <v>0</v>
      </c>
      <c r="AO33" s="59">
        <f t="shared" si="11"/>
        <v>0</v>
      </c>
    </row>
    <row r="34" spans="1:45" ht="16.149999999999999" customHeight="1" x14ac:dyDescent="0.25">
      <c r="A34" s="76" t="s">
        <v>21</v>
      </c>
      <c r="B34" s="7" t="s">
        <v>22</v>
      </c>
      <c r="C34" s="54">
        <v>18</v>
      </c>
      <c r="D34" s="54"/>
      <c r="E34" s="54">
        <v>24</v>
      </c>
      <c r="F34" s="54"/>
      <c r="G34" s="54"/>
      <c r="H34" s="54"/>
      <c r="I34" s="54"/>
      <c r="J34" s="54"/>
      <c r="K34" s="54"/>
      <c r="L34" s="57">
        <f t="shared" ref="L34:M38" si="13">SUM(L7-C34)</f>
        <v>34</v>
      </c>
      <c r="M34" s="58">
        <f t="shared" si="13"/>
        <v>0</v>
      </c>
      <c r="N34" s="58">
        <f t="shared" si="12"/>
        <v>37</v>
      </c>
      <c r="O34" s="58">
        <f t="shared" si="12"/>
        <v>0</v>
      </c>
      <c r="P34" s="58">
        <f t="shared" si="12"/>
        <v>0</v>
      </c>
      <c r="Q34" s="58">
        <f t="shared" si="12"/>
        <v>0</v>
      </c>
      <c r="R34" s="58">
        <f t="shared" si="12"/>
        <v>0</v>
      </c>
      <c r="S34" s="58">
        <f t="shared" si="12"/>
        <v>0</v>
      </c>
      <c r="T34" s="59">
        <f t="shared" si="12"/>
        <v>0</v>
      </c>
      <c r="V34" s="8" t="s">
        <v>23</v>
      </c>
      <c r="W34" s="7" t="s">
        <v>17</v>
      </c>
      <c r="X34" s="54"/>
      <c r="Y34" s="54"/>
      <c r="Z34" s="54"/>
      <c r="AA34" s="54"/>
      <c r="AB34" s="54"/>
      <c r="AC34" s="54"/>
      <c r="AD34" s="54"/>
      <c r="AE34" s="54"/>
      <c r="AF34" s="55"/>
      <c r="AG34" s="57">
        <f t="shared" si="3"/>
        <v>0</v>
      </c>
      <c r="AH34" s="58">
        <f t="shared" si="4"/>
        <v>0</v>
      </c>
      <c r="AI34" s="58">
        <f t="shared" si="5"/>
        <v>0</v>
      </c>
      <c r="AJ34" s="58">
        <f t="shared" si="6"/>
        <v>0</v>
      </c>
      <c r="AK34" s="58">
        <f t="shared" si="7"/>
        <v>0</v>
      </c>
      <c r="AL34" s="58">
        <f t="shared" si="8"/>
        <v>0</v>
      </c>
      <c r="AM34" s="58">
        <f t="shared" si="9"/>
        <v>0</v>
      </c>
      <c r="AN34" s="58">
        <f t="shared" si="10"/>
        <v>0</v>
      </c>
      <c r="AO34" s="59">
        <f t="shared" si="11"/>
        <v>0</v>
      </c>
    </row>
    <row r="35" spans="1:45" ht="16.149999999999999" customHeight="1" x14ac:dyDescent="0.25">
      <c r="A35" s="6" t="s">
        <v>24</v>
      </c>
      <c r="B35" s="7" t="s">
        <v>22</v>
      </c>
      <c r="C35" s="54">
        <v>158</v>
      </c>
      <c r="D35" s="54"/>
      <c r="E35" s="54">
        <v>94</v>
      </c>
      <c r="F35" s="54">
        <v>6</v>
      </c>
      <c r="G35" s="54">
        <v>19</v>
      </c>
      <c r="H35" s="54"/>
      <c r="I35" s="54"/>
      <c r="J35" s="54"/>
      <c r="K35" s="54"/>
      <c r="L35" s="57">
        <f t="shared" si="13"/>
        <v>1044</v>
      </c>
      <c r="M35" s="58">
        <f t="shared" si="13"/>
        <v>0</v>
      </c>
      <c r="N35" s="58">
        <f t="shared" si="12"/>
        <v>538</v>
      </c>
      <c r="O35" s="58">
        <f t="shared" si="12"/>
        <v>23</v>
      </c>
      <c r="P35" s="58">
        <f t="shared" si="12"/>
        <v>7</v>
      </c>
      <c r="Q35" s="58">
        <f t="shared" si="12"/>
        <v>0</v>
      </c>
      <c r="R35" s="58">
        <f t="shared" si="12"/>
        <v>2</v>
      </c>
      <c r="S35" s="58">
        <f t="shared" si="12"/>
        <v>0</v>
      </c>
      <c r="T35" s="59">
        <f t="shared" si="12"/>
        <v>1</v>
      </c>
      <c r="V35" s="8" t="s">
        <v>25</v>
      </c>
      <c r="W35" s="7" t="s">
        <v>17</v>
      </c>
      <c r="X35" s="54"/>
      <c r="Y35" s="54"/>
      <c r="Z35" s="54"/>
      <c r="AA35" s="54"/>
      <c r="AB35" s="54"/>
      <c r="AC35" s="54"/>
      <c r="AD35" s="54"/>
      <c r="AE35" s="54"/>
      <c r="AF35" s="55"/>
      <c r="AG35" s="57">
        <f t="shared" si="3"/>
        <v>0</v>
      </c>
      <c r="AH35" s="58">
        <f t="shared" si="4"/>
        <v>0</v>
      </c>
      <c r="AI35" s="58">
        <f t="shared" si="5"/>
        <v>0</v>
      </c>
      <c r="AJ35" s="58">
        <f t="shared" si="6"/>
        <v>0</v>
      </c>
      <c r="AK35" s="58">
        <f t="shared" si="7"/>
        <v>0</v>
      </c>
      <c r="AL35" s="58">
        <f t="shared" si="8"/>
        <v>0</v>
      </c>
      <c r="AM35" s="58">
        <f t="shared" si="9"/>
        <v>0</v>
      </c>
      <c r="AN35" s="58">
        <f t="shared" si="10"/>
        <v>0</v>
      </c>
      <c r="AO35" s="59">
        <f t="shared" si="11"/>
        <v>0</v>
      </c>
    </row>
    <row r="36" spans="1:45" ht="16.149999999999999" customHeight="1" x14ac:dyDescent="0.25">
      <c r="A36" s="6" t="s">
        <v>26</v>
      </c>
      <c r="B36" s="7" t="s">
        <v>27</v>
      </c>
      <c r="C36" s="54"/>
      <c r="D36" s="54"/>
      <c r="E36" s="54"/>
      <c r="F36" s="54"/>
      <c r="G36" s="54"/>
      <c r="H36" s="54"/>
      <c r="I36" s="54"/>
      <c r="J36" s="54"/>
      <c r="K36" s="55"/>
      <c r="L36" s="57">
        <f t="shared" si="13"/>
        <v>0</v>
      </c>
      <c r="M36" s="58">
        <f t="shared" si="13"/>
        <v>0</v>
      </c>
      <c r="N36" s="58">
        <f t="shared" si="12"/>
        <v>1</v>
      </c>
      <c r="O36" s="58">
        <f t="shared" si="12"/>
        <v>0</v>
      </c>
      <c r="P36" s="58">
        <f t="shared" si="12"/>
        <v>0</v>
      </c>
      <c r="Q36" s="58">
        <f t="shared" si="12"/>
        <v>0</v>
      </c>
      <c r="R36" s="58">
        <f t="shared" si="12"/>
        <v>0</v>
      </c>
      <c r="S36" s="58">
        <f t="shared" si="12"/>
        <v>0</v>
      </c>
      <c r="T36" s="59">
        <f t="shared" si="12"/>
        <v>0</v>
      </c>
      <c r="V36" s="8" t="s">
        <v>28</v>
      </c>
      <c r="W36" s="7" t="s">
        <v>22</v>
      </c>
      <c r="X36" s="54">
        <v>90</v>
      </c>
      <c r="Y36" s="54"/>
      <c r="Z36" s="54">
        <v>80</v>
      </c>
      <c r="AA36" s="54"/>
      <c r="AB36" s="54">
        <v>23</v>
      </c>
      <c r="AC36" s="54"/>
      <c r="AD36" s="54"/>
      <c r="AE36" s="54"/>
      <c r="AF36" s="54"/>
      <c r="AG36" s="57">
        <f t="shared" si="3"/>
        <v>1182</v>
      </c>
      <c r="AH36" s="58">
        <f t="shared" si="4"/>
        <v>2</v>
      </c>
      <c r="AI36" s="58">
        <f t="shared" si="5"/>
        <v>654</v>
      </c>
      <c r="AJ36" s="58">
        <f t="shared" si="6"/>
        <v>4</v>
      </c>
      <c r="AK36" s="58">
        <f t="shared" si="7"/>
        <v>21</v>
      </c>
      <c r="AL36" s="58">
        <f t="shared" si="8"/>
        <v>0</v>
      </c>
      <c r="AM36" s="58">
        <f t="shared" si="9"/>
        <v>6</v>
      </c>
      <c r="AN36" s="58">
        <f t="shared" si="10"/>
        <v>1</v>
      </c>
      <c r="AO36" s="59">
        <f t="shared" si="11"/>
        <v>7</v>
      </c>
    </row>
    <row r="37" spans="1:45" ht="16.149999999999999" customHeight="1" x14ac:dyDescent="0.25">
      <c r="A37" s="82"/>
      <c r="B37" s="81"/>
      <c r="C37" s="101"/>
      <c r="D37" s="101"/>
      <c r="E37" s="101"/>
      <c r="F37" s="101"/>
      <c r="G37" s="101"/>
      <c r="H37" s="101"/>
      <c r="I37" s="101"/>
      <c r="J37" s="101"/>
      <c r="K37" s="101"/>
      <c r="L37" s="57">
        <f t="shared" si="13"/>
        <v>0</v>
      </c>
      <c r="M37" s="58">
        <f t="shared" si="13"/>
        <v>0</v>
      </c>
      <c r="N37" s="58">
        <f t="shared" si="12"/>
        <v>0</v>
      </c>
      <c r="O37" s="58">
        <f t="shared" si="12"/>
        <v>0</v>
      </c>
      <c r="P37" s="58">
        <f t="shared" si="12"/>
        <v>0</v>
      </c>
      <c r="Q37" s="58">
        <f t="shared" si="12"/>
        <v>0</v>
      </c>
      <c r="R37" s="58">
        <f t="shared" si="12"/>
        <v>0</v>
      </c>
      <c r="S37" s="58">
        <f t="shared" si="12"/>
        <v>0</v>
      </c>
      <c r="T37" s="59">
        <f t="shared" si="12"/>
        <v>0</v>
      </c>
      <c r="V37" s="8" t="s">
        <v>29</v>
      </c>
      <c r="W37" s="7" t="s">
        <v>22</v>
      </c>
      <c r="X37" s="54">
        <v>13</v>
      </c>
      <c r="Y37" s="54"/>
      <c r="Z37" s="54">
        <v>9</v>
      </c>
      <c r="AA37" s="54"/>
      <c r="AB37" s="54"/>
      <c r="AC37" s="54"/>
      <c r="AD37" s="54"/>
      <c r="AE37" s="54"/>
      <c r="AF37" s="54"/>
      <c r="AG37" s="57">
        <f t="shared" si="3"/>
        <v>154</v>
      </c>
      <c r="AH37" s="58">
        <f t="shared" si="4"/>
        <v>0</v>
      </c>
      <c r="AI37" s="58">
        <f t="shared" si="5"/>
        <v>168</v>
      </c>
      <c r="AJ37" s="58">
        <f t="shared" si="6"/>
        <v>0</v>
      </c>
      <c r="AK37" s="58">
        <f t="shared" si="7"/>
        <v>0</v>
      </c>
      <c r="AL37" s="58">
        <f t="shared" si="8"/>
        <v>0</v>
      </c>
      <c r="AM37" s="58">
        <f t="shared" si="9"/>
        <v>0</v>
      </c>
      <c r="AN37" s="58">
        <f t="shared" si="10"/>
        <v>0</v>
      </c>
      <c r="AO37" s="59">
        <f t="shared" si="11"/>
        <v>0</v>
      </c>
    </row>
    <row r="38" spans="1:45" ht="16.149999999999999" customHeight="1" x14ac:dyDescent="0.25">
      <c r="A38" s="6" t="s">
        <v>23</v>
      </c>
      <c r="B38" s="7" t="s">
        <v>27</v>
      </c>
      <c r="C38" s="6"/>
      <c r="D38" s="6"/>
      <c r="E38" s="6"/>
      <c r="F38" s="6"/>
      <c r="G38" s="6"/>
      <c r="H38" s="6"/>
      <c r="I38" s="6"/>
      <c r="J38" s="6"/>
      <c r="K38" s="33"/>
      <c r="L38" s="57">
        <f t="shared" si="13"/>
        <v>15</v>
      </c>
      <c r="M38" s="58">
        <f t="shared" si="13"/>
        <v>0</v>
      </c>
      <c r="N38" s="58">
        <f t="shared" si="12"/>
        <v>6</v>
      </c>
      <c r="O38" s="58">
        <f t="shared" si="12"/>
        <v>0</v>
      </c>
      <c r="P38" s="58">
        <f t="shared" si="12"/>
        <v>0</v>
      </c>
      <c r="Q38" s="58">
        <f t="shared" si="12"/>
        <v>0</v>
      </c>
      <c r="R38" s="58">
        <f t="shared" si="12"/>
        <v>0</v>
      </c>
      <c r="S38" s="58">
        <f t="shared" si="12"/>
        <v>0</v>
      </c>
      <c r="T38" s="59">
        <f t="shared" si="12"/>
        <v>0</v>
      </c>
      <c r="V38" s="8" t="s">
        <v>30</v>
      </c>
      <c r="W38" s="7" t="s">
        <v>22</v>
      </c>
      <c r="X38" s="54">
        <v>7</v>
      </c>
      <c r="Y38" s="54"/>
      <c r="Z38" s="54">
        <v>42</v>
      </c>
      <c r="AA38" s="54"/>
      <c r="AB38" s="54"/>
      <c r="AC38" s="54"/>
      <c r="AD38" s="54"/>
      <c r="AE38" s="54"/>
      <c r="AF38" s="54"/>
      <c r="AG38" s="57">
        <f t="shared" si="3"/>
        <v>330</v>
      </c>
      <c r="AH38" s="58">
        <f t="shared" si="4"/>
        <v>0</v>
      </c>
      <c r="AI38" s="58">
        <f t="shared" si="5"/>
        <v>275</v>
      </c>
      <c r="AJ38" s="58">
        <f t="shared" si="6"/>
        <v>1</v>
      </c>
      <c r="AK38" s="58">
        <f t="shared" si="7"/>
        <v>0</v>
      </c>
      <c r="AL38" s="58">
        <f t="shared" si="8"/>
        <v>0</v>
      </c>
      <c r="AM38" s="58">
        <f t="shared" si="9"/>
        <v>0</v>
      </c>
      <c r="AN38" s="58">
        <f t="shared" si="10"/>
        <v>0</v>
      </c>
      <c r="AO38" s="59">
        <f t="shared" si="11"/>
        <v>0</v>
      </c>
    </row>
    <row r="39" spans="1:45" ht="16.149999999999999" customHeight="1" x14ac:dyDescent="0.25">
      <c r="A39" s="6"/>
      <c r="B39" s="7"/>
      <c r="C39" s="103"/>
      <c r="D39" s="103"/>
      <c r="E39" s="103"/>
      <c r="F39" s="103"/>
      <c r="G39" s="103"/>
      <c r="H39" s="103"/>
      <c r="I39" s="103"/>
      <c r="J39" s="103"/>
      <c r="K39" s="104"/>
      <c r="L39" s="35"/>
      <c r="M39" s="31"/>
      <c r="N39" s="31"/>
      <c r="O39" s="31"/>
      <c r="P39" s="31"/>
      <c r="Q39" s="31"/>
      <c r="R39" s="31"/>
      <c r="S39" s="31"/>
      <c r="T39" s="20"/>
      <c r="V39" s="8" t="s">
        <v>31</v>
      </c>
      <c r="W39" s="7" t="s">
        <v>27</v>
      </c>
      <c r="X39" s="54"/>
      <c r="Y39" s="54"/>
      <c r="Z39" s="54"/>
      <c r="AA39" s="54"/>
      <c r="AB39" s="54"/>
      <c r="AC39" s="54"/>
      <c r="AD39" s="54"/>
      <c r="AE39" s="54"/>
      <c r="AF39" s="55"/>
      <c r="AG39" s="57">
        <f t="shared" si="3"/>
        <v>0</v>
      </c>
      <c r="AH39" s="58">
        <f t="shared" si="4"/>
        <v>0</v>
      </c>
      <c r="AI39" s="58">
        <f t="shared" si="5"/>
        <v>0</v>
      </c>
      <c r="AJ39" s="58">
        <f t="shared" si="6"/>
        <v>0</v>
      </c>
      <c r="AK39" s="58">
        <f t="shared" si="7"/>
        <v>0</v>
      </c>
      <c r="AL39" s="58">
        <f t="shared" si="8"/>
        <v>0</v>
      </c>
      <c r="AM39" s="58">
        <f t="shared" si="9"/>
        <v>0</v>
      </c>
      <c r="AN39" s="58">
        <f t="shared" si="10"/>
        <v>0</v>
      </c>
      <c r="AO39" s="59">
        <f t="shared" si="11"/>
        <v>0</v>
      </c>
      <c r="AS39" s="5" t="s">
        <v>42</v>
      </c>
    </row>
    <row r="40" spans="1:45" ht="16.5" customHeight="1" x14ac:dyDescent="0.25">
      <c r="A40" s="9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4">SUM(L13-C40)</f>
        <v>0</v>
      </c>
      <c r="M40" s="10">
        <f t="shared" si="14"/>
        <v>0</v>
      </c>
      <c r="N40" s="10">
        <f t="shared" si="14"/>
        <v>0</v>
      </c>
      <c r="O40" s="10">
        <f t="shared" si="14"/>
        <v>0</v>
      </c>
      <c r="P40" s="10">
        <f t="shared" si="14"/>
        <v>0</v>
      </c>
      <c r="Q40" s="10">
        <f t="shared" si="14"/>
        <v>0</v>
      </c>
      <c r="R40" s="10">
        <f t="shared" si="14"/>
        <v>0</v>
      </c>
      <c r="S40" s="10">
        <f t="shared" si="14"/>
        <v>0</v>
      </c>
      <c r="T40" s="37">
        <f t="shared" si="14"/>
        <v>0</v>
      </c>
      <c r="V40" s="9" t="s">
        <v>32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3"/>
        <v>0</v>
      </c>
      <c r="AH40" s="10">
        <f t="shared" si="4"/>
        <v>0</v>
      </c>
      <c r="AI40" s="10">
        <f t="shared" si="5"/>
        <v>0</v>
      </c>
      <c r="AJ40" s="10">
        <f t="shared" si="6"/>
        <v>0</v>
      </c>
      <c r="AK40" s="10">
        <f t="shared" si="7"/>
        <v>0</v>
      </c>
      <c r="AL40" s="10">
        <f t="shared" si="8"/>
        <v>0</v>
      </c>
      <c r="AM40" s="10">
        <f t="shared" si="9"/>
        <v>0</v>
      </c>
      <c r="AN40" s="10">
        <f t="shared" si="10"/>
        <v>0</v>
      </c>
      <c r="AO40" s="37">
        <f t="shared" si="11"/>
        <v>0</v>
      </c>
    </row>
    <row r="41" spans="1:45" s="3" customFormat="1" ht="16.149999999999999" customHeight="1" thickBot="1" x14ac:dyDescent="0.3">
      <c r="A41" s="105" t="s">
        <v>34</v>
      </c>
      <c r="B41" s="106"/>
      <c r="C41" s="54">
        <f t="shared" ref="C41:T41" si="15">SUM(C31:C40)</f>
        <v>206</v>
      </c>
      <c r="D41" s="54">
        <f t="shared" si="15"/>
        <v>0</v>
      </c>
      <c r="E41" s="54">
        <f t="shared" si="15"/>
        <v>147</v>
      </c>
      <c r="F41" s="54">
        <f t="shared" si="15"/>
        <v>6</v>
      </c>
      <c r="G41" s="54">
        <f t="shared" si="15"/>
        <v>19</v>
      </c>
      <c r="H41" s="54">
        <f t="shared" si="15"/>
        <v>0</v>
      </c>
      <c r="I41" s="54">
        <f t="shared" si="15"/>
        <v>0</v>
      </c>
      <c r="J41" s="54">
        <f t="shared" si="15"/>
        <v>0</v>
      </c>
      <c r="K41" s="54">
        <f t="shared" si="15"/>
        <v>0</v>
      </c>
      <c r="L41" s="38">
        <f t="shared" si="15"/>
        <v>1342</v>
      </c>
      <c r="M41" s="24">
        <f t="shared" si="15"/>
        <v>0</v>
      </c>
      <c r="N41" s="69">
        <f t="shared" si="15"/>
        <v>640</v>
      </c>
      <c r="O41" s="24">
        <f t="shared" si="15"/>
        <v>23</v>
      </c>
      <c r="P41" s="24">
        <f t="shared" si="15"/>
        <v>7</v>
      </c>
      <c r="Q41" s="24">
        <f t="shared" si="15"/>
        <v>0</v>
      </c>
      <c r="R41" s="24">
        <f t="shared" si="15"/>
        <v>2</v>
      </c>
      <c r="S41" s="24">
        <f t="shared" si="15"/>
        <v>0</v>
      </c>
      <c r="T41" s="25">
        <f t="shared" si="15"/>
        <v>1</v>
      </c>
      <c r="V41" s="105" t="s">
        <v>35</v>
      </c>
      <c r="W41" s="106"/>
      <c r="X41" s="6">
        <f t="shared" ref="X41:AO41" si="16">SUM(X31:X40)</f>
        <v>110</v>
      </c>
      <c r="Y41" s="6">
        <f t="shared" si="16"/>
        <v>0</v>
      </c>
      <c r="Z41" s="6">
        <f t="shared" si="16"/>
        <v>131</v>
      </c>
      <c r="AA41" s="6">
        <f t="shared" si="16"/>
        <v>0</v>
      </c>
      <c r="AB41" s="6">
        <f t="shared" si="16"/>
        <v>23</v>
      </c>
      <c r="AC41" s="6">
        <f t="shared" si="16"/>
        <v>0</v>
      </c>
      <c r="AD41" s="6">
        <f t="shared" si="16"/>
        <v>0</v>
      </c>
      <c r="AE41" s="6">
        <f t="shared" si="16"/>
        <v>0</v>
      </c>
      <c r="AF41" s="33">
        <f t="shared" si="16"/>
        <v>0</v>
      </c>
      <c r="AG41" s="38">
        <f t="shared" si="16"/>
        <v>1666</v>
      </c>
      <c r="AH41" s="24">
        <f t="shared" si="16"/>
        <v>2</v>
      </c>
      <c r="AI41" s="24">
        <f t="shared" si="16"/>
        <v>1097</v>
      </c>
      <c r="AJ41" s="24">
        <f t="shared" si="16"/>
        <v>5</v>
      </c>
      <c r="AK41" s="24">
        <f t="shared" si="16"/>
        <v>21</v>
      </c>
      <c r="AL41" s="24">
        <f t="shared" si="16"/>
        <v>0</v>
      </c>
      <c r="AM41" s="24">
        <f t="shared" si="16"/>
        <v>6</v>
      </c>
      <c r="AN41" s="24">
        <f t="shared" si="16"/>
        <v>1</v>
      </c>
      <c r="AO41" s="25">
        <f t="shared" si="16"/>
        <v>7</v>
      </c>
    </row>
    <row r="42" spans="1:45" ht="16.149999999999999" customHeight="1" thickBot="1" x14ac:dyDescent="0.3"/>
    <row r="43" spans="1:45" ht="16.149999999999999" customHeight="1" x14ac:dyDescent="0.25">
      <c r="A43" s="112" t="s">
        <v>3</v>
      </c>
      <c r="B43" s="113"/>
      <c r="C43" s="119" t="s">
        <v>43</v>
      </c>
      <c r="D43" s="118"/>
      <c r="E43" s="118"/>
      <c r="F43" s="118"/>
      <c r="G43" s="118"/>
      <c r="H43" s="106"/>
      <c r="I43" s="117" t="s">
        <v>44</v>
      </c>
      <c r="J43" s="118"/>
      <c r="K43" s="118"/>
      <c r="L43" s="109" t="s">
        <v>36</v>
      </c>
      <c r="M43" s="110"/>
      <c r="N43" s="110"/>
      <c r="O43" s="110"/>
      <c r="P43" s="110"/>
      <c r="Q43" s="110"/>
      <c r="R43" s="110"/>
      <c r="S43" s="110"/>
      <c r="T43" s="111"/>
      <c r="V43" s="112" t="s">
        <v>3</v>
      </c>
      <c r="W43" s="113"/>
      <c r="X43" s="119" t="str">
        <f>C43</f>
        <v>BOOKING W 2</v>
      </c>
      <c r="Y43" s="118"/>
      <c r="Z43" s="118"/>
      <c r="AA43" s="118"/>
      <c r="AB43" s="118"/>
      <c r="AC43" s="106"/>
      <c r="AD43" s="117" t="str">
        <f>I43</f>
        <v>02-08/11/2026</v>
      </c>
      <c r="AE43" s="118"/>
      <c r="AF43" s="118"/>
      <c r="AG43" s="109" t="s">
        <v>36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 x14ac:dyDescent="0.25">
      <c r="A44" s="114"/>
      <c r="B44" s="115"/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32" t="s">
        <v>15</v>
      </c>
      <c r="L44" s="53" t="s">
        <v>7</v>
      </c>
      <c r="M44" s="4" t="s">
        <v>8</v>
      </c>
      <c r="N44" s="4" t="s">
        <v>9</v>
      </c>
      <c r="O44" s="4" t="s">
        <v>10</v>
      </c>
      <c r="P44" s="4" t="s">
        <v>11</v>
      </c>
      <c r="Q44" s="4" t="s">
        <v>12</v>
      </c>
      <c r="R44" s="4" t="s">
        <v>13</v>
      </c>
      <c r="S44" s="4" t="s">
        <v>14</v>
      </c>
      <c r="T44" s="14" t="s">
        <v>15</v>
      </c>
      <c r="V44" s="114"/>
      <c r="W44" s="115"/>
      <c r="X44" s="4" t="s">
        <v>7</v>
      </c>
      <c r="Y44" s="4" t="s">
        <v>8</v>
      </c>
      <c r="Z44" s="4" t="s">
        <v>9</v>
      </c>
      <c r="AA44" s="4" t="s">
        <v>10</v>
      </c>
      <c r="AB44" s="4" t="s">
        <v>11</v>
      </c>
      <c r="AC44" s="4" t="s">
        <v>12</v>
      </c>
      <c r="AD44" s="4" t="s">
        <v>13</v>
      </c>
      <c r="AE44" s="4" t="s">
        <v>14</v>
      </c>
      <c r="AF44" s="32" t="s">
        <v>15</v>
      </c>
      <c r="AG44" s="53" t="s">
        <v>7</v>
      </c>
      <c r="AH44" s="4" t="s">
        <v>8</v>
      </c>
      <c r="AI44" s="4" t="s">
        <v>9</v>
      </c>
      <c r="AJ44" s="4" t="s">
        <v>10</v>
      </c>
      <c r="AK44" s="4" t="s">
        <v>11</v>
      </c>
      <c r="AL44" s="4" t="s">
        <v>12</v>
      </c>
      <c r="AM44" s="4" t="s">
        <v>13</v>
      </c>
      <c r="AN44" s="4" t="s">
        <v>14</v>
      </c>
      <c r="AO44" s="14" t="s">
        <v>15</v>
      </c>
    </row>
    <row r="45" spans="1:45" ht="16.149999999999999" customHeight="1" x14ac:dyDescent="0.25">
      <c r="A45" s="6" t="s">
        <v>16</v>
      </c>
      <c r="B45" s="7" t="s">
        <v>17</v>
      </c>
      <c r="C45" s="54">
        <v>35</v>
      </c>
      <c r="D45" s="54"/>
      <c r="E45" s="54">
        <v>40</v>
      </c>
      <c r="F45" s="54"/>
      <c r="G45" s="54"/>
      <c r="H45" s="54"/>
      <c r="I45" s="54"/>
      <c r="J45" s="54"/>
      <c r="K45" s="54"/>
      <c r="L45" s="57">
        <f t="shared" ref="L45:T46" si="17">SUM(L31-C45)</f>
        <v>37</v>
      </c>
      <c r="M45" s="58">
        <f t="shared" si="17"/>
        <v>0</v>
      </c>
      <c r="N45" s="58">
        <f t="shared" si="17"/>
        <v>-17</v>
      </c>
      <c r="O45" s="58">
        <f t="shared" si="17"/>
        <v>0</v>
      </c>
      <c r="P45" s="58">
        <f t="shared" si="17"/>
        <v>0</v>
      </c>
      <c r="Q45" s="58">
        <f t="shared" si="17"/>
        <v>0</v>
      </c>
      <c r="R45" s="58">
        <f t="shared" si="17"/>
        <v>0</v>
      </c>
      <c r="S45" s="58">
        <f t="shared" si="17"/>
        <v>0</v>
      </c>
      <c r="T45" s="59">
        <f t="shared" si="17"/>
        <v>0</v>
      </c>
      <c r="V45" s="8" t="s">
        <v>18</v>
      </c>
      <c r="W45" s="7" t="s">
        <v>17</v>
      </c>
      <c r="X45" s="54"/>
      <c r="Y45" s="54"/>
      <c r="Z45" s="54"/>
      <c r="AA45" s="54"/>
      <c r="AB45" s="54"/>
      <c r="AC45" s="54"/>
      <c r="AD45" s="54"/>
      <c r="AE45" s="54"/>
      <c r="AF45" s="55"/>
      <c r="AG45" s="57">
        <f t="shared" ref="AG45:AG54" si="18">SUM(AG31-X45)</f>
        <v>0</v>
      </c>
      <c r="AH45" s="58">
        <f t="shared" ref="AH45:AH54" si="19">SUM(AH31-Y45)</f>
        <v>0</v>
      </c>
      <c r="AI45" s="58">
        <f t="shared" ref="AI45:AI54" si="20">SUM(AI31-Z45)</f>
        <v>0</v>
      </c>
      <c r="AJ45" s="58">
        <f t="shared" ref="AJ45:AJ54" si="21">SUM(AJ31-AA45)</f>
        <v>0</v>
      </c>
      <c r="AK45" s="58">
        <f t="shared" ref="AK45:AK54" si="22">SUM(AK31-AB45)</f>
        <v>0</v>
      </c>
      <c r="AL45" s="58">
        <f t="shared" ref="AL45:AL54" si="23">SUM(AL31-AC45)</f>
        <v>0</v>
      </c>
      <c r="AM45" s="58">
        <f t="shared" ref="AM45:AM54" si="24">SUM(AM31-AD45)</f>
        <v>0</v>
      </c>
      <c r="AN45" s="58">
        <f t="shared" ref="AN45:AN54" si="25">SUM(AN31-AE45)</f>
        <v>0</v>
      </c>
      <c r="AO45" s="59">
        <f t="shared" ref="AO45:AO54" si="26">SUM(AO31-AF45)</f>
        <v>0</v>
      </c>
    </row>
    <row r="46" spans="1:45" ht="16.149999999999999" customHeight="1" x14ac:dyDescent="0.25">
      <c r="A46" s="6" t="s">
        <v>19</v>
      </c>
      <c r="B46" s="7" t="s">
        <v>17</v>
      </c>
      <c r="C46" s="54">
        <v>67</v>
      </c>
      <c r="D46" s="54"/>
      <c r="E46" s="54">
        <v>16</v>
      </c>
      <c r="F46" s="54"/>
      <c r="G46" s="54"/>
      <c r="H46" s="54"/>
      <c r="I46" s="54"/>
      <c r="J46" s="54"/>
      <c r="K46" s="54"/>
      <c r="L46" s="57">
        <f t="shared" si="17"/>
        <v>110</v>
      </c>
      <c r="M46" s="58">
        <f t="shared" si="17"/>
        <v>0</v>
      </c>
      <c r="N46" s="58">
        <f t="shared" si="17"/>
        <v>19</v>
      </c>
      <c r="O46" s="58">
        <f t="shared" si="17"/>
        <v>0</v>
      </c>
      <c r="P46" s="58">
        <f t="shared" si="17"/>
        <v>0</v>
      </c>
      <c r="Q46" s="58">
        <f t="shared" si="17"/>
        <v>0</v>
      </c>
      <c r="R46" s="58">
        <f t="shared" si="17"/>
        <v>0</v>
      </c>
      <c r="S46" s="58">
        <f t="shared" si="17"/>
        <v>0</v>
      </c>
      <c r="T46" s="59">
        <f t="shared" si="17"/>
        <v>0</v>
      </c>
      <c r="V46" s="8" t="s">
        <v>40</v>
      </c>
      <c r="W46" s="7" t="s">
        <v>17</v>
      </c>
      <c r="X46" s="54"/>
      <c r="Y46" s="54"/>
      <c r="Z46" s="54"/>
      <c r="AA46" s="54"/>
      <c r="AB46" s="54"/>
      <c r="AC46" s="54"/>
      <c r="AD46" s="54"/>
      <c r="AE46" s="54"/>
      <c r="AF46" s="55"/>
      <c r="AG46" s="57">
        <f t="shared" si="18"/>
        <v>0</v>
      </c>
      <c r="AH46" s="58">
        <f t="shared" si="19"/>
        <v>0</v>
      </c>
      <c r="AI46" s="58">
        <f t="shared" si="20"/>
        <v>0</v>
      </c>
      <c r="AJ46" s="58">
        <f t="shared" si="21"/>
        <v>0</v>
      </c>
      <c r="AK46" s="58">
        <f t="shared" si="22"/>
        <v>0</v>
      </c>
      <c r="AL46" s="58">
        <f t="shared" si="23"/>
        <v>0</v>
      </c>
      <c r="AM46" s="58">
        <f t="shared" si="24"/>
        <v>0</v>
      </c>
      <c r="AN46" s="58">
        <f t="shared" si="25"/>
        <v>0</v>
      </c>
      <c r="AO46" s="59">
        <f t="shared" si="26"/>
        <v>0</v>
      </c>
    </row>
    <row r="47" spans="1:45" ht="16.149999999999999" customHeight="1" x14ac:dyDescent="0.25">
      <c r="A47" s="80"/>
      <c r="B47" s="81"/>
      <c r="C47" s="101"/>
      <c r="D47" s="101"/>
      <c r="E47" s="101"/>
      <c r="F47" s="101"/>
      <c r="G47" s="101"/>
      <c r="H47" s="101"/>
      <c r="I47" s="101"/>
      <c r="J47" s="101"/>
      <c r="K47" s="102"/>
      <c r="L47" s="57"/>
      <c r="M47" s="58"/>
      <c r="N47" s="58"/>
      <c r="O47" s="58"/>
      <c r="P47" s="58"/>
      <c r="Q47" s="58">
        <f t="shared" ref="Q47:T52" si="27">SUM(Q33-H47)</f>
        <v>0</v>
      </c>
      <c r="R47" s="58">
        <f t="shared" si="27"/>
        <v>0</v>
      </c>
      <c r="S47" s="58">
        <f t="shared" si="27"/>
        <v>0</v>
      </c>
      <c r="T47" s="59">
        <f t="shared" si="27"/>
        <v>0</v>
      </c>
      <c r="V47" s="8" t="s">
        <v>41</v>
      </c>
      <c r="W47" s="7" t="s">
        <v>17</v>
      </c>
      <c r="X47" s="54"/>
      <c r="Y47" s="54"/>
      <c r="Z47" s="54"/>
      <c r="AA47" s="54"/>
      <c r="AB47" s="54"/>
      <c r="AC47" s="54"/>
      <c r="AD47" s="54"/>
      <c r="AE47" s="54"/>
      <c r="AF47" s="55"/>
      <c r="AG47" s="57">
        <f t="shared" si="18"/>
        <v>0</v>
      </c>
      <c r="AH47" s="58">
        <f t="shared" si="19"/>
        <v>0</v>
      </c>
      <c r="AI47" s="58">
        <f t="shared" si="20"/>
        <v>0</v>
      </c>
      <c r="AJ47" s="58">
        <f t="shared" si="21"/>
        <v>0</v>
      </c>
      <c r="AK47" s="58">
        <f t="shared" si="22"/>
        <v>0</v>
      </c>
      <c r="AL47" s="58">
        <f t="shared" si="23"/>
        <v>0</v>
      </c>
      <c r="AM47" s="58">
        <f t="shared" si="24"/>
        <v>0</v>
      </c>
      <c r="AN47" s="58">
        <f t="shared" si="25"/>
        <v>0</v>
      </c>
      <c r="AO47" s="59">
        <f t="shared" si="26"/>
        <v>0</v>
      </c>
    </row>
    <row r="48" spans="1:45" ht="16.149999999999999" customHeight="1" x14ac:dyDescent="0.25">
      <c r="A48" s="76" t="s">
        <v>21</v>
      </c>
      <c r="B48" s="7" t="s">
        <v>22</v>
      </c>
      <c r="C48" s="54">
        <v>55</v>
      </c>
      <c r="D48" s="54"/>
      <c r="E48" s="54">
        <v>28</v>
      </c>
      <c r="F48" s="54"/>
      <c r="G48" s="54"/>
      <c r="H48" s="54"/>
      <c r="I48" s="54"/>
      <c r="J48" s="54"/>
      <c r="K48" s="54"/>
      <c r="L48" s="57">
        <f t="shared" ref="L48:P52" si="28">SUM(L34-C48)</f>
        <v>-21</v>
      </c>
      <c r="M48" s="58">
        <f t="shared" si="28"/>
        <v>0</v>
      </c>
      <c r="N48" s="58">
        <f t="shared" si="28"/>
        <v>9</v>
      </c>
      <c r="O48" s="58">
        <f t="shared" si="28"/>
        <v>0</v>
      </c>
      <c r="P48" s="58">
        <f t="shared" si="28"/>
        <v>0</v>
      </c>
      <c r="Q48" s="58">
        <f t="shared" si="27"/>
        <v>0</v>
      </c>
      <c r="R48" s="58">
        <f t="shared" si="27"/>
        <v>0</v>
      </c>
      <c r="S48" s="58">
        <f t="shared" si="27"/>
        <v>0</v>
      </c>
      <c r="T48" s="59">
        <f t="shared" si="27"/>
        <v>0</v>
      </c>
      <c r="V48" s="8" t="s">
        <v>23</v>
      </c>
      <c r="W48" s="7" t="s">
        <v>17</v>
      </c>
      <c r="X48" s="54"/>
      <c r="Y48" s="54"/>
      <c r="Z48" s="54"/>
      <c r="AA48" s="54"/>
      <c r="AB48" s="54"/>
      <c r="AC48" s="54"/>
      <c r="AD48" s="54"/>
      <c r="AE48" s="54"/>
      <c r="AF48" s="55"/>
      <c r="AG48" s="57">
        <f t="shared" si="18"/>
        <v>0</v>
      </c>
      <c r="AH48" s="58">
        <f t="shared" si="19"/>
        <v>0</v>
      </c>
      <c r="AI48" s="58">
        <f t="shared" si="20"/>
        <v>0</v>
      </c>
      <c r="AJ48" s="58">
        <f t="shared" si="21"/>
        <v>0</v>
      </c>
      <c r="AK48" s="58">
        <f t="shared" si="22"/>
        <v>0</v>
      </c>
      <c r="AL48" s="58">
        <f t="shared" si="23"/>
        <v>0</v>
      </c>
      <c r="AM48" s="58">
        <f t="shared" si="24"/>
        <v>0</v>
      </c>
      <c r="AN48" s="58">
        <f t="shared" si="25"/>
        <v>0</v>
      </c>
      <c r="AO48" s="59">
        <f t="shared" si="26"/>
        <v>0</v>
      </c>
    </row>
    <row r="49" spans="1:41" ht="16.149999999999999" customHeight="1" x14ac:dyDescent="0.25">
      <c r="A49" s="6" t="s">
        <v>24</v>
      </c>
      <c r="B49" s="7" t="s">
        <v>22</v>
      </c>
      <c r="C49" s="54">
        <v>353</v>
      </c>
      <c r="D49" s="54">
        <v>1</v>
      </c>
      <c r="E49" s="54">
        <v>180</v>
      </c>
      <c r="F49" s="54">
        <v>5</v>
      </c>
      <c r="G49" s="54">
        <v>10</v>
      </c>
      <c r="H49" s="54"/>
      <c r="I49" s="54"/>
      <c r="J49" s="54"/>
      <c r="K49" s="54"/>
      <c r="L49" s="57">
        <f t="shared" si="28"/>
        <v>691</v>
      </c>
      <c r="M49" s="58">
        <f t="shared" si="28"/>
        <v>-1</v>
      </c>
      <c r="N49" s="58">
        <f t="shared" si="28"/>
        <v>358</v>
      </c>
      <c r="O49" s="58">
        <f t="shared" si="28"/>
        <v>18</v>
      </c>
      <c r="P49" s="58">
        <f t="shared" si="28"/>
        <v>-3</v>
      </c>
      <c r="Q49" s="58">
        <f t="shared" si="27"/>
        <v>0</v>
      </c>
      <c r="R49" s="58">
        <f t="shared" si="27"/>
        <v>2</v>
      </c>
      <c r="S49" s="58">
        <f t="shared" si="27"/>
        <v>0</v>
      </c>
      <c r="T49" s="59">
        <f t="shared" si="27"/>
        <v>1</v>
      </c>
      <c r="V49" s="8" t="s">
        <v>25</v>
      </c>
      <c r="W49" s="7" t="s">
        <v>17</v>
      </c>
      <c r="X49" s="54"/>
      <c r="Y49" s="54"/>
      <c r="Z49" s="54"/>
      <c r="AA49" s="54"/>
      <c r="AB49" s="54"/>
      <c r="AC49" s="54"/>
      <c r="AD49" s="54"/>
      <c r="AE49" s="54"/>
      <c r="AF49" s="55"/>
      <c r="AG49" s="57">
        <f t="shared" si="18"/>
        <v>0</v>
      </c>
      <c r="AH49" s="58">
        <f t="shared" si="19"/>
        <v>0</v>
      </c>
      <c r="AI49" s="58">
        <f t="shared" si="20"/>
        <v>0</v>
      </c>
      <c r="AJ49" s="58">
        <f t="shared" si="21"/>
        <v>0</v>
      </c>
      <c r="AK49" s="58">
        <f t="shared" si="22"/>
        <v>0</v>
      </c>
      <c r="AL49" s="58">
        <f t="shared" si="23"/>
        <v>0</v>
      </c>
      <c r="AM49" s="58">
        <f t="shared" si="24"/>
        <v>0</v>
      </c>
      <c r="AN49" s="58">
        <f t="shared" si="25"/>
        <v>0</v>
      </c>
      <c r="AO49" s="59">
        <f t="shared" si="26"/>
        <v>0</v>
      </c>
    </row>
    <row r="50" spans="1:41" ht="16.149999999999999" customHeight="1" x14ac:dyDescent="0.25">
      <c r="A50" s="6" t="s">
        <v>26</v>
      </c>
      <c r="B50" s="7" t="s">
        <v>27</v>
      </c>
      <c r="C50" s="54"/>
      <c r="D50" s="54"/>
      <c r="E50" s="54"/>
      <c r="F50" s="54"/>
      <c r="G50" s="54"/>
      <c r="H50" s="54"/>
      <c r="I50" s="54"/>
      <c r="J50" s="54"/>
      <c r="K50" s="55"/>
      <c r="L50" s="57">
        <f t="shared" si="28"/>
        <v>0</v>
      </c>
      <c r="M50" s="58">
        <f t="shared" si="28"/>
        <v>0</v>
      </c>
      <c r="N50" s="58">
        <f t="shared" si="28"/>
        <v>1</v>
      </c>
      <c r="O50" s="58">
        <f t="shared" si="28"/>
        <v>0</v>
      </c>
      <c r="P50" s="58">
        <f t="shared" si="28"/>
        <v>0</v>
      </c>
      <c r="Q50" s="58">
        <f t="shared" si="27"/>
        <v>0</v>
      </c>
      <c r="R50" s="58">
        <f t="shared" si="27"/>
        <v>0</v>
      </c>
      <c r="S50" s="58">
        <f t="shared" si="27"/>
        <v>0</v>
      </c>
      <c r="T50" s="59">
        <f t="shared" si="27"/>
        <v>0</v>
      </c>
      <c r="V50" s="8" t="s">
        <v>28</v>
      </c>
      <c r="W50" s="7" t="s">
        <v>22</v>
      </c>
      <c r="X50" s="54">
        <v>255</v>
      </c>
      <c r="Y50" s="54"/>
      <c r="Z50" s="54">
        <v>135</v>
      </c>
      <c r="AA50" s="54">
        <v>5</v>
      </c>
      <c r="AB50" s="54">
        <v>12</v>
      </c>
      <c r="AC50" s="54"/>
      <c r="AD50" s="54"/>
      <c r="AE50" s="54"/>
      <c r="AF50" s="54"/>
      <c r="AG50" s="57">
        <f t="shared" si="18"/>
        <v>927</v>
      </c>
      <c r="AH50" s="58">
        <f t="shared" si="19"/>
        <v>2</v>
      </c>
      <c r="AI50" s="58">
        <f t="shared" si="20"/>
        <v>519</v>
      </c>
      <c r="AJ50" s="58">
        <f t="shared" si="21"/>
        <v>-1</v>
      </c>
      <c r="AK50" s="58">
        <f t="shared" si="22"/>
        <v>9</v>
      </c>
      <c r="AL50" s="58">
        <f t="shared" si="23"/>
        <v>0</v>
      </c>
      <c r="AM50" s="58">
        <f t="shared" si="24"/>
        <v>6</v>
      </c>
      <c r="AN50" s="58">
        <f t="shared" si="25"/>
        <v>1</v>
      </c>
      <c r="AO50" s="59">
        <f t="shared" si="26"/>
        <v>7</v>
      </c>
    </row>
    <row r="51" spans="1:41" ht="16.149999999999999" customHeight="1" x14ac:dyDescent="0.25">
      <c r="A51" s="82"/>
      <c r="B51" s="81"/>
      <c r="C51" s="101"/>
      <c r="D51" s="101"/>
      <c r="E51" s="101"/>
      <c r="F51" s="101"/>
      <c r="G51" s="101"/>
      <c r="H51" s="101"/>
      <c r="I51" s="101"/>
      <c r="J51" s="101"/>
      <c r="K51" s="101"/>
      <c r="L51" s="57">
        <f t="shared" si="28"/>
        <v>0</v>
      </c>
      <c r="M51" s="58">
        <f t="shared" si="28"/>
        <v>0</v>
      </c>
      <c r="N51" s="58">
        <f t="shared" si="28"/>
        <v>0</v>
      </c>
      <c r="O51" s="58">
        <f t="shared" si="28"/>
        <v>0</v>
      </c>
      <c r="P51" s="58">
        <f t="shared" si="28"/>
        <v>0</v>
      </c>
      <c r="Q51" s="58">
        <f t="shared" si="27"/>
        <v>0</v>
      </c>
      <c r="R51" s="58">
        <f t="shared" si="27"/>
        <v>0</v>
      </c>
      <c r="S51" s="58">
        <f t="shared" si="27"/>
        <v>0</v>
      </c>
      <c r="T51" s="59">
        <f t="shared" si="27"/>
        <v>0</v>
      </c>
      <c r="V51" s="8" t="s">
        <v>29</v>
      </c>
      <c r="W51" s="7" t="s">
        <v>22</v>
      </c>
      <c r="X51" s="54">
        <v>23</v>
      </c>
      <c r="Y51" s="54"/>
      <c r="Z51" s="63">
        <v>23</v>
      </c>
      <c r="AA51" s="54"/>
      <c r="AB51" s="54"/>
      <c r="AC51" s="54"/>
      <c r="AD51" s="54"/>
      <c r="AE51" s="54"/>
      <c r="AF51" s="54"/>
      <c r="AG51" s="57">
        <f t="shared" si="18"/>
        <v>131</v>
      </c>
      <c r="AH51" s="58">
        <f t="shared" si="19"/>
        <v>0</v>
      </c>
      <c r="AI51" s="58">
        <f t="shared" si="20"/>
        <v>145</v>
      </c>
      <c r="AJ51" s="58">
        <f t="shared" si="21"/>
        <v>0</v>
      </c>
      <c r="AK51" s="58">
        <f t="shared" si="22"/>
        <v>0</v>
      </c>
      <c r="AL51" s="58">
        <f t="shared" si="23"/>
        <v>0</v>
      </c>
      <c r="AM51" s="58">
        <f t="shared" si="24"/>
        <v>0</v>
      </c>
      <c r="AN51" s="58">
        <f t="shared" si="25"/>
        <v>0</v>
      </c>
      <c r="AO51" s="59">
        <f t="shared" si="26"/>
        <v>0</v>
      </c>
    </row>
    <row r="52" spans="1:41" ht="16.149999999999999" customHeight="1" x14ac:dyDescent="0.25">
      <c r="A52" s="6" t="s">
        <v>23</v>
      </c>
      <c r="B52" s="7" t="s">
        <v>27</v>
      </c>
      <c r="C52" s="54"/>
      <c r="D52" s="54"/>
      <c r="E52" s="54"/>
      <c r="F52" s="54"/>
      <c r="G52" s="54"/>
      <c r="H52" s="54"/>
      <c r="I52" s="54"/>
      <c r="J52" s="54"/>
      <c r="K52" s="55"/>
      <c r="L52" s="57">
        <f t="shared" si="28"/>
        <v>15</v>
      </c>
      <c r="M52" s="58">
        <f t="shared" si="28"/>
        <v>0</v>
      </c>
      <c r="N52" s="58">
        <f t="shared" si="28"/>
        <v>6</v>
      </c>
      <c r="O52" s="58">
        <f t="shared" si="28"/>
        <v>0</v>
      </c>
      <c r="P52" s="58">
        <f t="shared" si="28"/>
        <v>0</v>
      </c>
      <c r="Q52" s="58">
        <f t="shared" si="27"/>
        <v>0</v>
      </c>
      <c r="R52" s="58">
        <f t="shared" si="27"/>
        <v>0</v>
      </c>
      <c r="S52" s="58">
        <f t="shared" si="27"/>
        <v>0</v>
      </c>
      <c r="T52" s="59">
        <f t="shared" si="27"/>
        <v>0</v>
      </c>
      <c r="V52" s="8" t="s">
        <v>30</v>
      </c>
      <c r="W52" s="7" t="s">
        <v>22</v>
      </c>
      <c r="X52" s="54">
        <v>91</v>
      </c>
      <c r="Y52" s="54"/>
      <c r="Z52" s="54">
        <v>30</v>
      </c>
      <c r="AA52" s="54"/>
      <c r="AB52" s="54"/>
      <c r="AC52" s="54"/>
      <c r="AD52" s="54"/>
      <c r="AE52" s="54"/>
      <c r="AF52" s="54"/>
      <c r="AG52" s="57">
        <f t="shared" si="18"/>
        <v>239</v>
      </c>
      <c r="AH52" s="58">
        <f t="shared" si="19"/>
        <v>0</v>
      </c>
      <c r="AI52" s="58">
        <f t="shared" si="20"/>
        <v>245</v>
      </c>
      <c r="AJ52" s="58">
        <f t="shared" si="21"/>
        <v>1</v>
      </c>
      <c r="AK52" s="58">
        <f t="shared" si="22"/>
        <v>0</v>
      </c>
      <c r="AL52" s="58">
        <f t="shared" si="23"/>
        <v>0</v>
      </c>
      <c r="AM52" s="58">
        <f t="shared" si="24"/>
        <v>0</v>
      </c>
      <c r="AN52" s="58">
        <f t="shared" si="25"/>
        <v>0</v>
      </c>
      <c r="AO52" s="59">
        <f t="shared" si="26"/>
        <v>0</v>
      </c>
    </row>
    <row r="53" spans="1:41" ht="16.899999999999999" customHeight="1" x14ac:dyDescent="0.25">
      <c r="A53" s="6"/>
      <c r="B53" s="7"/>
      <c r="C53" s="101"/>
      <c r="D53" s="101"/>
      <c r="E53" s="101"/>
      <c r="F53" s="101"/>
      <c r="G53" s="101"/>
      <c r="H53" s="101"/>
      <c r="I53" s="101"/>
      <c r="J53" s="101"/>
      <c r="K53" s="102"/>
      <c r="L53" s="57"/>
      <c r="M53" s="58"/>
      <c r="N53" s="58"/>
      <c r="O53" s="58"/>
      <c r="P53" s="58"/>
      <c r="Q53" s="58"/>
      <c r="R53" s="58"/>
      <c r="S53" s="58"/>
      <c r="T53" s="59"/>
      <c r="V53" s="8" t="s">
        <v>31</v>
      </c>
      <c r="W53" s="7" t="s">
        <v>27</v>
      </c>
      <c r="X53" s="54"/>
      <c r="Y53" s="54"/>
      <c r="Z53" s="54"/>
      <c r="AA53" s="54"/>
      <c r="AB53" s="54"/>
      <c r="AC53" s="54"/>
      <c r="AD53" s="54"/>
      <c r="AE53" s="54"/>
      <c r="AF53" s="55"/>
      <c r="AG53" s="57">
        <f t="shared" si="18"/>
        <v>0</v>
      </c>
      <c r="AH53" s="58">
        <f t="shared" si="19"/>
        <v>0</v>
      </c>
      <c r="AI53" s="58">
        <f t="shared" si="20"/>
        <v>0</v>
      </c>
      <c r="AJ53" s="58">
        <f t="shared" si="21"/>
        <v>0</v>
      </c>
      <c r="AK53" s="58">
        <f t="shared" si="22"/>
        <v>0</v>
      </c>
      <c r="AL53" s="58">
        <f t="shared" si="23"/>
        <v>0</v>
      </c>
      <c r="AM53" s="58">
        <f t="shared" si="24"/>
        <v>0</v>
      </c>
      <c r="AN53" s="58">
        <f t="shared" si="25"/>
        <v>0</v>
      </c>
      <c r="AO53" s="59">
        <f t="shared" si="26"/>
        <v>0</v>
      </c>
    </row>
    <row r="54" spans="1:41" ht="16.899999999999999" customHeight="1" x14ac:dyDescent="0.25">
      <c r="A54" s="9" t="s">
        <v>32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29">SUM(L40-C54)</f>
        <v>0</v>
      </c>
      <c r="M54" s="10">
        <f t="shared" si="29"/>
        <v>0</v>
      </c>
      <c r="N54" s="10">
        <f t="shared" si="29"/>
        <v>0</v>
      </c>
      <c r="O54" s="10">
        <f t="shared" si="29"/>
        <v>0</v>
      </c>
      <c r="P54" s="10">
        <f t="shared" si="29"/>
        <v>0</v>
      </c>
      <c r="Q54" s="10">
        <f t="shared" si="29"/>
        <v>0</v>
      </c>
      <c r="R54" s="10">
        <f t="shared" si="29"/>
        <v>0</v>
      </c>
      <c r="S54" s="10">
        <f t="shared" si="29"/>
        <v>0</v>
      </c>
      <c r="T54" s="37">
        <f t="shared" si="29"/>
        <v>0</v>
      </c>
      <c r="U54" s="27"/>
      <c r="V54" s="9" t="s">
        <v>32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8"/>
        <v>0</v>
      </c>
      <c r="AH54" s="10">
        <f t="shared" si="19"/>
        <v>0</v>
      </c>
      <c r="AI54" s="10">
        <f t="shared" si="20"/>
        <v>0</v>
      </c>
      <c r="AJ54" s="10">
        <f t="shared" si="21"/>
        <v>0</v>
      </c>
      <c r="AK54" s="10">
        <f t="shared" si="22"/>
        <v>0</v>
      </c>
      <c r="AL54" s="10">
        <f t="shared" si="23"/>
        <v>0</v>
      </c>
      <c r="AM54" s="10">
        <f t="shared" si="24"/>
        <v>0</v>
      </c>
      <c r="AN54" s="10">
        <f t="shared" si="25"/>
        <v>0</v>
      </c>
      <c r="AO54" s="37">
        <f t="shared" si="26"/>
        <v>0</v>
      </c>
    </row>
    <row r="55" spans="1:41" ht="16.899999999999999" customHeight="1" thickBot="1" x14ac:dyDescent="0.3">
      <c r="A55" s="105" t="s">
        <v>34</v>
      </c>
      <c r="B55" s="106"/>
      <c r="C55" s="6">
        <f t="shared" ref="C55:T55" si="30">SUM(C45:C54)</f>
        <v>510</v>
      </c>
      <c r="D55" s="6">
        <f t="shared" si="30"/>
        <v>1</v>
      </c>
      <c r="E55" s="6">
        <f t="shared" si="30"/>
        <v>264</v>
      </c>
      <c r="F55" s="6">
        <f t="shared" si="30"/>
        <v>5</v>
      </c>
      <c r="G55" s="6">
        <f t="shared" si="30"/>
        <v>10</v>
      </c>
      <c r="H55" s="6">
        <f t="shared" si="30"/>
        <v>0</v>
      </c>
      <c r="I55" s="6">
        <f t="shared" si="30"/>
        <v>0</v>
      </c>
      <c r="J55" s="6">
        <f t="shared" si="30"/>
        <v>0</v>
      </c>
      <c r="K55" s="33">
        <f t="shared" si="30"/>
        <v>0</v>
      </c>
      <c r="L55" s="38">
        <f t="shared" si="30"/>
        <v>832</v>
      </c>
      <c r="M55" s="24">
        <f t="shared" si="30"/>
        <v>-1</v>
      </c>
      <c r="N55" s="24">
        <f t="shared" si="30"/>
        <v>376</v>
      </c>
      <c r="O55" s="24">
        <f t="shared" si="30"/>
        <v>18</v>
      </c>
      <c r="P55" s="24">
        <f t="shared" si="30"/>
        <v>-3</v>
      </c>
      <c r="Q55" s="24">
        <f t="shared" si="30"/>
        <v>0</v>
      </c>
      <c r="R55" s="24">
        <f t="shared" si="30"/>
        <v>2</v>
      </c>
      <c r="S55" s="24">
        <f t="shared" si="30"/>
        <v>0</v>
      </c>
      <c r="T55" s="25">
        <f t="shared" si="30"/>
        <v>1</v>
      </c>
      <c r="V55" s="105" t="s">
        <v>35</v>
      </c>
      <c r="W55" s="106"/>
      <c r="X55" s="6">
        <f t="shared" ref="X55:AO55" si="31">SUM(X45:X54)</f>
        <v>369</v>
      </c>
      <c r="Y55" s="6">
        <f t="shared" si="31"/>
        <v>0</v>
      </c>
      <c r="Z55" s="6">
        <f t="shared" si="31"/>
        <v>188</v>
      </c>
      <c r="AA55" s="6">
        <f t="shared" si="31"/>
        <v>5</v>
      </c>
      <c r="AB55" s="6">
        <f t="shared" si="31"/>
        <v>12</v>
      </c>
      <c r="AC55" s="6">
        <f t="shared" si="31"/>
        <v>0</v>
      </c>
      <c r="AD55" s="6">
        <f t="shared" si="31"/>
        <v>0</v>
      </c>
      <c r="AE55" s="6">
        <f t="shared" si="31"/>
        <v>0</v>
      </c>
      <c r="AF55" s="33">
        <f t="shared" si="31"/>
        <v>0</v>
      </c>
      <c r="AG55" s="38">
        <f t="shared" si="31"/>
        <v>1297</v>
      </c>
      <c r="AH55" s="24">
        <f t="shared" si="31"/>
        <v>2</v>
      </c>
      <c r="AI55" s="24">
        <f t="shared" si="31"/>
        <v>909</v>
      </c>
      <c r="AJ55" s="24">
        <f t="shared" si="31"/>
        <v>0</v>
      </c>
      <c r="AK55" s="24">
        <f t="shared" si="31"/>
        <v>9</v>
      </c>
      <c r="AL55" s="24">
        <f t="shared" si="31"/>
        <v>0</v>
      </c>
      <c r="AM55" s="24">
        <f t="shared" si="31"/>
        <v>6</v>
      </c>
      <c r="AN55" s="24">
        <f t="shared" si="31"/>
        <v>1</v>
      </c>
      <c r="AO55" s="25">
        <f t="shared" si="31"/>
        <v>7</v>
      </c>
    </row>
    <row r="57" spans="1:41" ht="16.899999999999999" customHeight="1" x14ac:dyDescent="0.25">
      <c r="A57" s="26"/>
      <c r="B57" s="116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16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 x14ac:dyDescent="0.25">
      <c r="B58" s="116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16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 x14ac:dyDescent="0.25">
      <c r="B59" s="107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W59" s="107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</row>
    <row r="60" spans="1:41" ht="16.899999999999999" customHeight="1" x14ac:dyDescent="0.25">
      <c r="B60" s="107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W60" s="107" t="s">
        <v>42</v>
      </c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</row>
  </sheetData>
  <mergeCells count="43">
    <mergeCell ref="B60:T60"/>
    <mergeCell ref="V17:V18"/>
    <mergeCell ref="B57:T57"/>
    <mergeCell ref="X17:AF17"/>
    <mergeCell ref="C29:H29"/>
    <mergeCell ref="L43:T43"/>
    <mergeCell ref="W60:AO60"/>
    <mergeCell ref="A29:B30"/>
    <mergeCell ref="A41:B41"/>
    <mergeCell ref="W57:AO57"/>
    <mergeCell ref="C17:K17"/>
    <mergeCell ref="A43:B44"/>
    <mergeCell ref="A55:B55"/>
    <mergeCell ref="B59:T59"/>
    <mergeCell ref="V43:W44"/>
    <mergeCell ref="AD43:AF43"/>
    <mergeCell ref="A17:A18"/>
    <mergeCell ref="B58:T58"/>
    <mergeCell ref="AG43:AO43"/>
    <mergeCell ref="V29:W30"/>
    <mergeCell ref="X43:AC43"/>
    <mergeCell ref="V41:W41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</mergeCells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C000"/>
  </sheetPr>
  <dimension ref="A1:T27"/>
  <sheetViews>
    <sheetView showGridLines="0" tabSelected="1" zoomScale="110" zoomScaleNormal="110" workbookViewId="0">
      <selection activeCell="R23" sqref="R23"/>
    </sheetView>
  </sheetViews>
  <sheetFormatPr defaultRowHeight="15" x14ac:dyDescent="0.2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customHeight="1" thickBot="1" x14ac:dyDescent="0.3">
      <c r="A1" s="129" t="s">
        <v>45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20" ht="21.75" customHeight="1" thickBot="1" x14ac:dyDescent="0.3">
      <c r="A2" s="40" t="s">
        <v>46</v>
      </c>
      <c r="B2" s="41" t="s">
        <v>7</v>
      </c>
      <c r="C2" s="41" t="s">
        <v>8</v>
      </c>
      <c r="D2" s="41" t="s">
        <v>9</v>
      </c>
      <c r="E2" s="41" t="s">
        <v>10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15</v>
      </c>
      <c r="L2" s="134" t="s">
        <v>47</v>
      </c>
      <c r="M2" s="135"/>
      <c r="N2" s="135"/>
      <c r="O2" s="135"/>
      <c r="Q2" s="134" t="s">
        <v>48</v>
      </c>
      <c r="R2" s="135"/>
      <c r="S2" s="135"/>
      <c r="T2" s="135"/>
    </row>
    <row r="3" spans="1:20" ht="17.25" customHeight="1" thickBot="1" x14ac:dyDescent="0.35">
      <c r="A3" s="42" t="s">
        <v>49</v>
      </c>
      <c r="B3" s="43">
        <f>Daily!L15</f>
        <v>1548</v>
      </c>
      <c r="C3" s="43">
        <f>Daily!M15</f>
        <v>0</v>
      </c>
      <c r="D3" s="43">
        <f>Daily!N15</f>
        <v>787</v>
      </c>
      <c r="E3" s="43">
        <f>Daily!O15</f>
        <v>29</v>
      </c>
      <c r="F3" s="43">
        <f>Daily!P15</f>
        <v>26</v>
      </c>
      <c r="G3" s="43">
        <f>Daily!Q15</f>
        <v>0</v>
      </c>
      <c r="H3" s="43">
        <f>Daily!R15</f>
        <v>2</v>
      </c>
      <c r="I3" s="43">
        <f>Daily!S15</f>
        <v>0</v>
      </c>
      <c r="J3" s="43">
        <f>Daily!T15</f>
        <v>1</v>
      </c>
      <c r="L3" s="132" t="s">
        <v>50</v>
      </c>
      <c r="M3" s="75" t="s">
        <v>51</v>
      </c>
      <c r="N3" s="75" t="s">
        <v>52</v>
      </c>
      <c r="O3" s="74" t="s">
        <v>53</v>
      </c>
      <c r="P3" s="78"/>
      <c r="Q3" s="132" t="s">
        <v>50</v>
      </c>
      <c r="R3" s="75" t="s">
        <v>51</v>
      </c>
      <c r="S3" s="75" t="s">
        <v>52</v>
      </c>
      <c r="T3" s="74" t="s">
        <v>53</v>
      </c>
    </row>
    <row r="4" spans="1:20" ht="17.25" customHeight="1" thickBot="1" x14ac:dyDescent="0.35">
      <c r="A4" s="42" t="s">
        <v>54</v>
      </c>
      <c r="B4" s="49"/>
      <c r="C4" s="49"/>
      <c r="D4" s="49"/>
      <c r="E4" s="49"/>
      <c r="F4" s="49"/>
      <c r="G4" s="49"/>
      <c r="H4" s="49"/>
      <c r="I4" s="49"/>
      <c r="J4" s="49"/>
      <c r="L4" s="133"/>
      <c r="M4" s="74" t="s">
        <v>11</v>
      </c>
      <c r="N4" s="74" t="s">
        <v>11</v>
      </c>
      <c r="O4" s="74" t="s">
        <v>11</v>
      </c>
      <c r="P4" s="78"/>
      <c r="Q4" s="133"/>
      <c r="R4" s="74" t="s">
        <v>11</v>
      </c>
      <c r="S4" s="74" t="s">
        <v>11</v>
      </c>
      <c r="T4" s="74" t="s">
        <v>11</v>
      </c>
    </row>
    <row r="5" spans="1:20" ht="17.25" customHeight="1" thickBot="1" x14ac:dyDescent="0.35">
      <c r="A5" s="42" t="s">
        <v>55</v>
      </c>
      <c r="B5" s="49"/>
      <c r="C5" s="50"/>
      <c r="D5" s="51"/>
      <c r="E5" s="49"/>
      <c r="F5" s="49"/>
      <c r="G5" s="49"/>
      <c r="H5" s="49"/>
      <c r="I5" s="49"/>
      <c r="J5" s="49"/>
      <c r="L5" s="77">
        <v>2025</v>
      </c>
      <c r="M5" s="73">
        <v>11</v>
      </c>
      <c r="N5" s="73">
        <v>0</v>
      </c>
      <c r="O5" s="73">
        <v>3</v>
      </c>
      <c r="P5" s="78"/>
      <c r="Q5" s="77">
        <v>2025</v>
      </c>
      <c r="R5" s="73">
        <v>24</v>
      </c>
      <c r="S5" s="73">
        <v>0</v>
      </c>
      <c r="T5" s="73">
        <v>0</v>
      </c>
    </row>
    <row r="6" spans="1:20" ht="17.25" customHeight="1" thickBot="1" x14ac:dyDescent="0.35">
      <c r="A6" s="42" t="s">
        <v>56</v>
      </c>
      <c r="B6" s="43"/>
      <c r="C6" s="44"/>
      <c r="D6" s="43"/>
      <c r="E6" s="43"/>
      <c r="F6" s="43"/>
      <c r="G6" s="43"/>
      <c r="H6" s="43"/>
      <c r="I6" s="43"/>
      <c r="J6" s="43"/>
      <c r="L6" s="77">
        <v>2023</v>
      </c>
      <c r="M6" s="73">
        <v>1</v>
      </c>
      <c r="N6" s="73">
        <v>0</v>
      </c>
      <c r="O6" s="73">
        <v>0</v>
      </c>
      <c r="P6" s="78"/>
      <c r="Q6" s="77">
        <v>2023</v>
      </c>
      <c r="R6" s="74">
        <v>4</v>
      </c>
      <c r="S6" s="73">
        <v>0</v>
      </c>
      <c r="T6" s="73">
        <v>0</v>
      </c>
    </row>
    <row r="7" spans="1:20" ht="17.25" customHeight="1" thickBot="1" x14ac:dyDescent="0.35">
      <c r="A7" s="42" t="s">
        <v>57</v>
      </c>
      <c r="B7" s="43">
        <f>Daily!C15</f>
        <v>288</v>
      </c>
      <c r="C7" s="43">
        <f>Daily!D15</f>
        <v>0</v>
      </c>
      <c r="D7" s="43">
        <f>Daily!E15</f>
        <v>161</v>
      </c>
      <c r="E7" s="43">
        <f>Daily!F15</f>
        <v>2</v>
      </c>
      <c r="F7" s="43">
        <f>Daily!G15</f>
        <v>13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74">
        <v>2021</v>
      </c>
      <c r="M7" s="73">
        <v>3</v>
      </c>
      <c r="N7" s="73">
        <v>0</v>
      </c>
      <c r="O7" s="73">
        <v>0</v>
      </c>
      <c r="P7" s="78"/>
      <c r="Q7" s="74">
        <v>2021</v>
      </c>
      <c r="R7" s="74">
        <v>5</v>
      </c>
      <c r="S7" s="73">
        <v>0</v>
      </c>
      <c r="T7" s="73">
        <v>0</v>
      </c>
    </row>
    <row r="8" spans="1:20" ht="17.25" customHeight="1" thickBot="1" x14ac:dyDescent="0.35">
      <c r="A8" s="45" t="s">
        <v>58</v>
      </c>
      <c r="B8" s="46">
        <f>Daily!C41</f>
        <v>206</v>
      </c>
      <c r="C8" s="46">
        <f>Daily!D41</f>
        <v>0</v>
      </c>
      <c r="D8" s="46">
        <f>Daily!E41</f>
        <v>147</v>
      </c>
      <c r="E8" s="46">
        <f>Daily!F41</f>
        <v>6</v>
      </c>
      <c r="F8" s="46">
        <f>Daily!G41</f>
        <v>19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74">
        <v>2020</v>
      </c>
      <c r="M8" s="73">
        <v>3</v>
      </c>
      <c r="N8" s="73">
        <v>0</v>
      </c>
      <c r="O8" s="73">
        <v>0</v>
      </c>
      <c r="P8" s="78"/>
      <c r="Q8" s="74">
        <v>2020</v>
      </c>
      <c r="R8" s="74">
        <v>3</v>
      </c>
      <c r="S8" s="73">
        <v>0</v>
      </c>
      <c r="T8" s="73">
        <v>0</v>
      </c>
    </row>
    <row r="9" spans="1:20" ht="17.25" customHeight="1" thickBot="1" x14ac:dyDescent="0.35">
      <c r="A9" s="45" t="s">
        <v>59</v>
      </c>
      <c r="B9" s="46">
        <f>Daily!C55</f>
        <v>510</v>
      </c>
      <c r="C9" s="46">
        <f>Daily!D55</f>
        <v>1</v>
      </c>
      <c r="D9" s="46">
        <f>Daily!E55</f>
        <v>264</v>
      </c>
      <c r="E9" s="46">
        <f>Daily!F55</f>
        <v>5</v>
      </c>
      <c r="F9" s="46">
        <f>Daily!G55</f>
        <v>10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79" t="s">
        <v>60</v>
      </c>
      <c r="M9" s="72">
        <f>SUM(M5:M8)</f>
        <v>18</v>
      </c>
      <c r="N9" s="72">
        <f>SUM(N5:N8)</f>
        <v>0</v>
      </c>
      <c r="O9" s="72">
        <f>SUM(O5:O8)</f>
        <v>3</v>
      </c>
      <c r="P9" s="78"/>
      <c r="Q9" s="79" t="s">
        <v>60</v>
      </c>
      <c r="R9" s="72">
        <f>SUM(R5:R8)</f>
        <v>36</v>
      </c>
      <c r="S9" s="72">
        <f>SUM(S5:S8)</f>
        <v>0</v>
      </c>
      <c r="T9" s="72">
        <f>SUM(T5:T8)</f>
        <v>0</v>
      </c>
    </row>
    <row r="10" spans="1:20" ht="15.75" customHeight="1" thickBot="1" x14ac:dyDescent="0.3">
      <c r="A10" s="47" t="s">
        <v>61</v>
      </c>
      <c r="B10" s="48">
        <f t="shared" ref="B10:J10" si="0">(B3+B4+B5+B6+B7)-(B8+B9)</f>
        <v>1120</v>
      </c>
      <c r="C10" s="48">
        <f t="shared" si="0"/>
        <v>-1</v>
      </c>
      <c r="D10" s="48">
        <f t="shared" si="0"/>
        <v>537</v>
      </c>
      <c r="E10" s="48">
        <f t="shared" si="0"/>
        <v>20</v>
      </c>
      <c r="F10" s="48">
        <f t="shared" si="0"/>
        <v>10</v>
      </c>
      <c r="G10" s="48">
        <f t="shared" si="0"/>
        <v>0</v>
      </c>
      <c r="H10" s="48">
        <f t="shared" si="0"/>
        <v>2</v>
      </c>
      <c r="I10" s="48">
        <f t="shared" si="0"/>
        <v>0</v>
      </c>
      <c r="J10" s="48">
        <f t="shared" si="0"/>
        <v>1</v>
      </c>
    </row>
    <row r="11" spans="1:20" ht="16.5" customHeight="1" x14ac:dyDescent="0.3">
      <c r="P11" s="78"/>
    </row>
    <row r="12" spans="1:20" ht="17.25" customHeight="1" thickBot="1" x14ac:dyDescent="0.35">
      <c r="P12" s="78"/>
    </row>
    <row r="13" spans="1:20" ht="15.75" customHeight="1" thickBot="1" x14ac:dyDescent="0.3">
      <c r="A13" s="129" t="s">
        <v>62</v>
      </c>
      <c r="B13" s="130"/>
      <c r="C13" s="130"/>
      <c r="D13" s="130"/>
      <c r="E13" s="130"/>
      <c r="F13" s="130"/>
      <c r="G13" s="130"/>
      <c r="H13" s="130"/>
      <c r="I13" s="130"/>
      <c r="J13" s="131"/>
    </row>
    <row r="14" spans="1:20" ht="15.75" customHeight="1" thickBot="1" x14ac:dyDescent="0.3">
      <c r="A14" s="40" t="s">
        <v>46</v>
      </c>
      <c r="B14" s="41" t="s">
        <v>7</v>
      </c>
      <c r="C14" s="41" t="s">
        <v>8</v>
      </c>
      <c r="D14" s="41" t="s">
        <v>9</v>
      </c>
      <c r="E14" s="41" t="s">
        <v>10</v>
      </c>
      <c r="F14" s="41" t="s">
        <v>11</v>
      </c>
      <c r="G14" s="41" t="s">
        <v>12</v>
      </c>
      <c r="H14" s="41" t="s">
        <v>13</v>
      </c>
      <c r="I14" s="41" t="s">
        <v>14</v>
      </c>
      <c r="J14" s="41" t="s">
        <v>15</v>
      </c>
    </row>
    <row r="15" spans="1:20" ht="15.75" customHeight="1" thickBot="1" x14ac:dyDescent="0.3">
      <c r="A15" s="42" t="s">
        <v>49</v>
      </c>
      <c r="B15" s="43">
        <f>Daily!AG15</f>
        <v>2073</v>
      </c>
      <c r="C15" s="43">
        <f>Daily!AH15</f>
        <v>2</v>
      </c>
      <c r="D15" s="43">
        <f>Daily!AI15</f>
        <v>1248</v>
      </c>
      <c r="E15" s="43">
        <f>Daily!AJ15</f>
        <v>5</v>
      </c>
      <c r="F15" s="43">
        <f>Daily!AK15</f>
        <v>44</v>
      </c>
      <c r="G15" s="43">
        <f>Daily!AL15</f>
        <v>0</v>
      </c>
      <c r="H15" s="43">
        <f>Daily!AM15</f>
        <v>6</v>
      </c>
      <c r="I15" s="43">
        <f>Daily!AN15</f>
        <v>1</v>
      </c>
      <c r="J15" s="43">
        <f>Daily!AO15</f>
        <v>7</v>
      </c>
    </row>
    <row r="16" spans="1:20" ht="15.75" customHeight="1" thickBot="1" x14ac:dyDescent="0.3">
      <c r="A16" s="42" t="s">
        <v>54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customHeight="1" thickBot="1" x14ac:dyDescent="0.3">
      <c r="A17" s="42" t="s">
        <v>55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customHeight="1" thickBot="1" x14ac:dyDescent="0.3">
      <c r="A18" s="42" t="s">
        <v>56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customHeight="1" thickBot="1" x14ac:dyDescent="0.3">
      <c r="A19" s="42" t="s">
        <v>57</v>
      </c>
      <c r="B19" s="43">
        <f>Daily!X15</f>
        <v>215</v>
      </c>
      <c r="C19" s="43">
        <f>Daily!Y15</f>
        <v>0</v>
      </c>
      <c r="D19" s="43">
        <f>Daily!Z15</f>
        <v>195</v>
      </c>
      <c r="E19" s="43">
        <f>Daily!AA15</f>
        <v>1</v>
      </c>
      <c r="F19" s="43">
        <f>Daily!AB15</f>
        <v>7</v>
      </c>
      <c r="G19" s="43">
        <f>Daily!AC15</f>
        <v>0</v>
      </c>
      <c r="H19" s="43">
        <f>Daily!AD15</f>
        <v>1</v>
      </c>
      <c r="I19" s="43">
        <f>Daily!AE15</f>
        <v>0</v>
      </c>
      <c r="J19" s="43">
        <f>Daily!AF15</f>
        <v>4</v>
      </c>
    </row>
    <row r="20" spans="1:10" ht="15.75" customHeight="1" thickBot="1" x14ac:dyDescent="0.3">
      <c r="A20" s="45" t="str">
        <f>A8</f>
        <v>Booking (29-01/11)2026</v>
      </c>
      <c r="B20" s="46">
        <f>Daily!X41</f>
        <v>110</v>
      </c>
      <c r="C20" s="46">
        <f>Daily!Y41</f>
        <v>0</v>
      </c>
      <c r="D20" s="46">
        <f>Daily!Z41</f>
        <v>131</v>
      </c>
      <c r="E20" s="46">
        <f>Daily!AA41</f>
        <v>0</v>
      </c>
      <c r="F20" s="46">
        <f>Daily!AB41</f>
        <v>23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customHeight="1" thickBot="1" x14ac:dyDescent="0.3">
      <c r="A21" s="45" t="str">
        <f>A9</f>
        <v>Booking (02-08/11)2026</v>
      </c>
      <c r="B21" s="46">
        <f>Daily!X55</f>
        <v>369</v>
      </c>
      <c r="C21" s="46">
        <f>Daily!Y55</f>
        <v>0</v>
      </c>
      <c r="D21" s="46">
        <f>Daily!Z55</f>
        <v>188</v>
      </c>
      <c r="E21" s="46">
        <f>Daily!AA55</f>
        <v>5</v>
      </c>
      <c r="F21" s="46">
        <f>Daily!AB55</f>
        <v>12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customHeight="1" thickBot="1" x14ac:dyDescent="0.3">
      <c r="A22" s="47" t="s">
        <v>61</v>
      </c>
      <c r="B22" s="48">
        <f t="shared" ref="B22:J22" si="1">(B15+B16+B17+B18+B19)-(B20+B21)</f>
        <v>1809</v>
      </c>
      <c r="C22" s="48">
        <f t="shared" si="1"/>
        <v>2</v>
      </c>
      <c r="D22" s="48">
        <f t="shared" si="1"/>
        <v>1124</v>
      </c>
      <c r="E22" s="48">
        <f t="shared" si="1"/>
        <v>1</v>
      </c>
      <c r="F22" s="48">
        <f t="shared" si="1"/>
        <v>16</v>
      </c>
      <c r="G22" s="48">
        <f t="shared" si="1"/>
        <v>0</v>
      </c>
      <c r="H22" s="48">
        <f t="shared" si="1"/>
        <v>7</v>
      </c>
      <c r="I22" s="48">
        <f t="shared" si="1"/>
        <v>1</v>
      </c>
      <c r="J22" s="48">
        <f t="shared" si="1"/>
        <v>11</v>
      </c>
    </row>
    <row r="23" spans="1:10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 x14ac:dyDescent="0.25">
      <c r="D27" t="s">
        <v>42</v>
      </c>
    </row>
  </sheetData>
  <mergeCells count="6">
    <mergeCell ref="A13:J13"/>
    <mergeCell ref="A1:J1"/>
    <mergeCell ref="L3:L4"/>
    <mergeCell ref="Q3:Q4"/>
    <mergeCell ref="L2:O2"/>
    <mergeCell ref="Q2:T2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2026-10-21T03:19:29Z</cp:lastPrinted>
  <dcterms:created xsi:type="dcterms:W3CDTF">2017-07-14T08:45:38Z</dcterms:created>
  <dcterms:modified xsi:type="dcterms:W3CDTF">2026-10-29T03:11:36Z</dcterms:modified>
</cp:coreProperties>
</file>
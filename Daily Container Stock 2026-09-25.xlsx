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ILY REPORT\"/>
    </mc:Choice>
  </mc:AlternateContent>
  <xr:revisionPtr revIDLastSave="0" documentId="13_ncr:1_{1791885C-C4CA-4E78-859D-255146BC09F7}" xr6:coauthVersionLast="47" xr6:coauthVersionMax="47" xr10:uidLastSave="{00000000-0000-0000-0000-000000000000}"/>
  <bookViews>
    <workbookView xWindow="22932" yWindow="744" windowWidth="23256" windowHeight="12456" xr2:uid="{00000000-000D-0000-FFFF-FFFF00000000}"/>
  </bookViews>
  <sheets>
    <sheet name="Daily" sheetId="2" r:id="rId1"/>
    <sheet name="New Format" sheetId="3" r:id="rId2"/>
    <sheet name="REEFER" sheetId="5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B12" i="5"/>
  <c r="AI15" i="2"/>
  <c r="M9" i="3"/>
  <c r="R9" i="3"/>
  <c r="T9" i="3"/>
  <c r="S9" i="3"/>
  <c r="O9" i="3"/>
  <c r="N9" i="3"/>
  <c r="I12" i="5"/>
  <c r="H12" i="5"/>
  <c r="D12" i="5"/>
  <c r="C12" i="5"/>
  <c r="AG15" i="2" l="1"/>
  <c r="X15" i="2"/>
  <c r="Z15" i="2"/>
  <c r="AI37" i="2" l="1"/>
  <c r="AI51" i="2" s="1"/>
  <c r="AG37" i="2"/>
  <c r="AG51" i="2" s="1"/>
  <c r="L31" i="2"/>
  <c r="L45" i="2" s="1"/>
  <c r="AN36" i="2" l="1"/>
  <c r="AG38" i="2"/>
  <c r="AG52" i="2" s="1"/>
  <c r="O15" i="2" l="1"/>
  <c r="S34" i="2" l="1"/>
  <c r="S48" i="2" s="1"/>
  <c r="Q34" i="2"/>
  <c r="R34" i="2"/>
  <c r="T34" i="2"/>
  <c r="A21" i="3" l="1"/>
  <c r="P15" i="2" l="1"/>
  <c r="AC55" i="2" l="1"/>
  <c r="AF55" i="2"/>
  <c r="AE55" i="2"/>
  <c r="AD55" i="2"/>
  <c r="AA55" i="2"/>
  <c r="Z55" i="2"/>
  <c r="Y55" i="2"/>
  <c r="X55" i="2"/>
  <c r="AB55" i="2"/>
  <c r="K55" i="2"/>
  <c r="J55" i="2"/>
  <c r="I55" i="2"/>
  <c r="H55" i="2"/>
  <c r="G55" i="2"/>
  <c r="F55" i="2"/>
  <c r="E55" i="2"/>
  <c r="D55" i="2"/>
  <c r="C55" i="2"/>
  <c r="AF41" i="2"/>
  <c r="AE41" i="2"/>
  <c r="AD41" i="2"/>
  <c r="AC41" i="2"/>
  <c r="AB41" i="2"/>
  <c r="AA41" i="2"/>
  <c r="Z41" i="2"/>
  <c r="Y41" i="2"/>
  <c r="X41" i="2"/>
  <c r="T40" i="2" l="1"/>
  <c r="T54" i="2" s="1"/>
  <c r="S40" i="2"/>
  <c r="S54" i="2" s="1"/>
  <c r="R40" i="2"/>
  <c r="R54" i="2" s="1"/>
  <c r="Q40" i="2"/>
  <c r="Q54" i="2" s="1"/>
  <c r="P40" i="2"/>
  <c r="P54" i="2" s="1"/>
  <c r="O40" i="2"/>
  <c r="O54" i="2" s="1"/>
  <c r="N40" i="2"/>
  <c r="N54" i="2" s="1"/>
  <c r="M40" i="2"/>
  <c r="M54" i="2" s="1"/>
  <c r="L40" i="2"/>
  <c r="L54" i="2" s="1"/>
  <c r="T38" i="2"/>
  <c r="T52" i="2" s="1"/>
  <c r="S38" i="2"/>
  <c r="S52" i="2" s="1"/>
  <c r="R38" i="2"/>
  <c r="R52" i="2" s="1"/>
  <c r="Q38" i="2"/>
  <c r="Q52" i="2" s="1"/>
  <c r="P38" i="2"/>
  <c r="P52" i="2" s="1"/>
  <c r="O38" i="2"/>
  <c r="O52" i="2" s="1"/>
  <c r="N38" i="2"/>
  <c r="N52" i="2" s="1"/>
  <c r="M38" i="2"/>
  <c r="M52" i="2" s="1"/>
  <c r="L38" i="2"/>
  <c r="L52" i="2" s="1"/>
  <c r="S37" i="2"/>
  <c r="S51" i="2" s="1"/>
  <c r="O37" i="2"/>
  <c r="O51" i="2" s="1"/>
  <c r="T37" i="2"/>
  <c r="R37" i="2"/>
  <c r="Q37" i="2"/>
  <c r="P37" i="2"/>
  <c r="N37" i="2"/>
  <c r="M37" i="2"/>
  <c r="L37" i="2"/>
  <c r="T36" i="2"/>
  <c r="T50" i="2" s="1"/>
  <c r="S36" i="2"/>
  <c r="S50" i="2" s="1"/>
  <c r="R36" i="2"/>
  <c r="R50" i="2" s="1"/>
  <c r="Q36" i="2"/>
  <c r="Q50" i="2" s="1"/>
  <c r="P36" i="2"/>
  <c r="P50" i="2" s="1"/>
  <c r="O36" i="2"/>
  <c r="O50" i="2" s="1"/>
  <c r="N36" i="2"/>
  <c r="N50" i="2" s="1"/>
  <c r="M36" i="2"/>
  <c r="M50" i="2" s="1"/>
  <c r="L36" i="2"/>
  <c r="L50" i="2" s="1"/>
  <c r="N35" i="2"/>
  <c r="N49" i="2" s="1"/>
  <c r="T35" i="2"/>
  <c r="S35" i="2"/>
  <c r="R35" i="2"/>
  <c r="R49" i="2" s="1"/>
  <c r="Q35" i="2"/>
  <c r="P35" i="2"/>
  <c r="P49" i="2" s="1"/>
  <c r="O35" i="2"/>
  <c r="O49" i="2" s="1"/>
  <c r="M35" i="2"/>
  <c r="L35" i="2"/>
  <c r="T48" i="2"/>
  <c r="P34" i="2"/>
  <c r="P48" i="2" s="1"/>
  <c r="O34" i="2"/>
  <c r="N34" i="2"/>
  <c r="M34" i="2"/>
  <c r="L34" i="2"/>
  <c r="L48" i="2" s="1"/>
  <c r="T33" i="2"/>
  <c r="T47" i="2" s="1"/>
  <c r="S33" i="2"/>
  <c r="S47" i="2" s="1"/>
  <c r="R33" i="2"/>
  <c r="R47" i="2" s="1"/>
  <c r="Q33" i="2"/>
  <c r="Q47" i="2" s="1"/>
  <c r="P33" i="2"/>
  <c r="O33" i="2"/>
  <c r="N33" i="2"/>
  <c r="T32" i="2"/>
  <c r="S32" i="2"/>
  <c r="S46" i="2" s="1"/>
  <c r="R32" i="2"/>
  <c r="R46" i="2" s="1"/>
  <c r="Q32" i="2"/>
  <c r="P32" i="2"/>
  <c r="O32" i="2"/>
  <c r="O46" i="2" s="1"/>
  <c r="N32" i="2"/>
  <c r="M32" i="2"/>
  <c r="L32" i="2"/>
  <c r="T31" i="2"/>
  <c r="S31" i="2"/>
  <c r="R31" i="2"/>
  <c r="Q31" i="2"/>
  <c r="Q45" i="2" s="1"/>
  <c r="P31" i="2"/>
  <c r="O31" i="2"/>
  <c r="N31" i="2"/>
  <c r="M31" i="2"/>
  <c r="AO40" i="2"/>
  <c r="AO54" i="2" s="1"/>
  <c r="AN40" i="2"/>
  <c r="AN54" i="2" s="1"/>
  <c r="AM40" i="2"/>
  <c r="AM54" i="2" s="1"/>
  <c r="AL40" i="2"/>
  <c r="AL54" i="2" s="1"/>
  <c r="AK40" i="2"/>
  <c r="AK54" i="2" s="1"/>
  <c r="AJ40" i="2"/>
  <c r="AJ54" i="2" s="1"/>
  <c r="AI40" i="2"/>
  <c r="AI54" i="2" s="1"/>
  <c r="AH40" i="2"/>
  <c r="AH54" i="2" s="1"/>
  <c r="AG40" i="2"/>
  <c r="AG54" i="2" s="1"/>
  <c r="AO39" i="2"/>
  <c r="AO53" i="2" s="1"/>
  <c r="AN39" i="2"/>
  <c r="AN53" i="2" s="1"/>
  <c r="AM39" i="2"/>
  <c r="AM53" i="2" s="1"/>
  <c r="AL39" i="2"/>
  <c r="AL53" i="2" s="1"/>
  <c r="AK39" i="2"/>
  <c r="AK53" i="2" s="1"/>
  <c r="AJ39" i="2"/>
  <c r="AJ53" i="2" s="1"/>
  <c r="AI39" i="2"/>
  <c r="AI53" i="2" s="1"/>
  <c r="AH39" i="2"/>
  <c r="AH53" i="2" s="1"/>
  <c r="AG39" i="2"/>
  <c r="AG53" i="2" s="1"/>
  <c r="AJ38" i="2"/>
  <c r="AJ52" i="2" s="1"/>
  <c r="AO38" i="2"/>
  <c r="AN38" i="2"/>
  <c r="AN52" i="2" s="1"/>
  <c r="AM38" i="2"/>
  <c r="AL38" i="2"/>
  <c r="AK38" i="2"/>
  <c r="AI38" i="2"/>
  <c r="AH38" i="2"/>
  <c r="AO37" i="2"/>
  <c r="AO51" i="2" s="1"/>
  <c r="AN37" i="2"/>
  <c r="AN51" i="2" s="1"/>
  <c r="AM37" i="2"/>
  <c r="AM51" i="2" s="1"/>
  <c r="AL37" i="2"/>
  <c r="AL51" i="2" s="1"/>
  <c r="AK37" i="2"/>
  <c r="AK51" i="2" s="1"/>
  <c r="AJ37" i="2"/>
  <c r="AJ51" i="2" s="1"/>
  <c r="AH37" i="2"/>
  <c r="AH51" i="2" s="1"/>
  <c r="AJ36" i="2"/>
  <c r="AJ50" i="2" s="1"/>
  <c r="AO36" i="2"/>
  <c r="AN50" i="2"/>
  <c r="AM36" i="2"/>
  <c r="AL36" i="2"/>
  <c r="AK36" i="2"/>
  <c r="AI36" i="2"/>
  <c r="AH36" i="2"/>
  <c r="AG36" i="2"/>
  <c r="AO35" i="2"/>
  <c r="AO49" i="2" s="1"/>
  <c r="AN35" i="2"/>
  <c r="AN49" i="2" s="1"/>
  <c r="AM35" i="2"/>
  <c r="AM49" i="2" s="1"/>
  <c r="AL35" i="2"/>
  <c r="AL49" i="2" s="1"/>
  <c r="AK35" i="2"/>
  <c r="AK49" i="2" s="1"/>
  <c r="AJ35" i="2"/>
  <c r="AJ49" i="2" s="1"/>
  <c r="AI35" i="2"/>
  <c r="AI49" i="2" s="1"/>
  <c r="AH35" i="2"/>
  <c r="AH49" i="2" s="1"/>
  <c r="AG35" i="2"/>
  <c r="AG49" i="2" s="1"/>
  <c r="AO34" i="2"/>
  <c r="AO48" i="2" s="1"/>
  <c r="AN34" i="2"/>
  <c r="AN48" i="2" s="1"/>
  <c r="AM34" i="2"/>
  <c r="AM48" i="2" s="1"/>
  <c r="AL34" i="2"/>
  <c r="AL48" i="2" s="1"/>
  <c r="AK34" i="2"/>
  <c r="AK48" i="2" s="1"/>
  <c r="AJ34" i="2"/>
  <c r="AJ48" i="2" s="1"/>
  <c r="AI34" i="2"/>
  <c r="AI48" i="2" s="1"/>
  <c r="AH34" i="2"/>
  <c r="AH48" i="2" s="1"/>
  <c r="AG34" i="2"/>
  <c r="AG48" i="2" s="1"/>
  <c r="AO33" i="2"/>
  <c r="AO47" i="2" s="1"/>
  <c r="AN33" i="2"/>
  <c r="AN47" i="2" s="1"/>
  <c r="AM33" i="2"/>
  <c r="AM47" i="2" s="1"/>
  <c r="AL33" i="2"/>
  <c r="AL47" i="2" s="1"/>
  <c r="AK33" i="2"/>
  <c r="AK47" i="2" s="1"/>
  <c r="AJ33" i="2"/>
  <c r="AJ47" i="2" s="1"/>
  <c r="AI33" i="2"/>
  <c r="AI47" i="2" s="1"/>
  <c r="AH33" i="2"/>
  <c r="AH47" i="2" s="1"/>
  <c r="AG33" i="2"/>
  <c r="AG47" i="2" s="1"/>
  <c r="AO32" i="2"/>
  <c r="AO46" i="2" s="1"/>
  <c r="AN32" i="2"/>
  <c r="AN46" i="2" s="1"/>
  <c r="AM32" i="2"/>
  <c r="AM46" i="2" s="1"/>
  <c r="AL32" i="2"/>
  <c r="AL46" i="2" s="1"/>
  <c r="AK32" i="2"/>
  <c r="AK46" i="2" s="1"/>
  <c r="AJ32" i="2"/>
  <c r="AJ46" i="2" s="1"/>
  <c r="AI32" i="2"/>
  <c r="AI46" i="2" s="1"/>
  <c r="AH32" i="2"/>
  <c r="AH46" i="2" s="1"/>
  <c r="AG32" i="2"/>
  <c r="AG46" i="2" s="1"/>
  <c r="AO31" i="2"/>
  <c r="AO45" i="2" s="1"/>
  <c r="AN31" i="2"/>
  <c r="AN45" i="2" s="1"/>
  <c r="AM31" i="2"/>
  <c r="AM45" i="2" s="1"/>
  <c r="AL31" i="2"/>
  <c r="AL45" i="2" s="1"/>
  <c r="AJ31" i="2"/>
  <c r="AJ45" i="2" s="1"/>
  <c r="AI31" i="2"/>
  <c r="AI45" i="2" s="1"/>
  <c r="AH31" i="2"/>
  <c r="AH45" i="2" s="1"/>
  <c r="AG31" i="2"/>
  <c r="AG45" i="2" s="1"/>
  <c r="AK31" i="2"/>
  <c r="N41" i="2" l="1"/>
  <c r="AL52" i="2"/>
  <c r="AI50" i="2"/>
  <c r="AM50" i="2"/>
  <c r="M45" i="2"/>
  <c r="M46" i="2"/>
  <c r="Q46" i="2"/>
  <c r="L51" i="2"/>
  <c r="P51" i="2"/>
  <c r="T51" i="2"/>
  <c r="M48" i="2"/>
  <c r="Q48" i="2"/>
  <c r="L49" i="2"/>
  <c r="T49" i="2"/>
  <c r="N46" i="2"/>
  <c r="M49" i="2"/>
  <c r="Q49" i="2"/>
  <c r="M51" i="2"/>
  <c r="Q51" i="2"/>
  <c r="AK45" i="2"/>
  <c r="AI52" i="2"/>
  <c r="AM52" i="2"/>
  <c r="P45" i="2"/>
  <c r="N45" i="2"/>
  <c r="R45" i="2"/>
  <c r="N48" i="2"/>
  <c r="R48" i="2"/>
  <c r="N51" i="2"/>
  <c r="R51" i="2"/>
  <c r="AG50" i="2"/>
  <c r="AK50" i="2"/>
  <c r="AO50" i="2"/>
  <c r="T45" i="2"/>
  <c r="AH52" i="2"/>
  <c r="O45" i="2"/>
  <c r="S45" i="2"/>
  <c r="L46" i="2"/>
  <c r="P46" i="2"/>
  <c r="T46" i="2"/>
  <c r="O48" i="2"/>
  <c r="S49" i="2"/>
  <c r="AH50" i="2"/>
  <c r="AL50" i="2"/>
  <c r="AK52" i="2"/>
  <c r="AO52" i="2"/>
  <c r="B15" i="3"/>
  <c r="N55" i="2" l="1"/>
  <c r="B19" i="3"/>
  <c r="N15" i="2" l="1"/>
  <c r="D3" i="3" s="1"/>
  <c r="C15" i="2" l="1"/>
  <c r="B7" i="3" s="1"/>
  <c r="D15" i="2"/>
  <c r="C7" i="3" s="1"/>
  <c r="E15" i="2"/>
  <c r="D7" i="3" s="1"/>
  <c r="F15" i="2"/>
  <c r="E7" i="3" s="1"/>
  <c r="G15" i="2"/>
  <c r="F7" i="3" s="1"/>
  <c r="H15" i="2"/>
  <c r="G7" i="3" s="1"/>
  <c r="I15" i="2"/>
  <c r="H7" i="3" s="1"/>
  <c r="J15" i="2"/>
  <c r="I7" i="3" s="1"/>
  <c r="K15" i="2"/>
  <c r="J7" i="3" s="1"/>
  <c r="J20" i="3" l="1"/>
  <c r="D20" i="3"/>
  <c r="C41" i="2"/>
  <c r="L15" i="2" l="1"/>
  <c r="B3" i="3" s="1"/>
  <c r="F3" i="3" l="1"/>
  <c r="AO15" i="2" l="1"/>
  <c r="J15" i="3" s="1"/>
  <c r="AJ15" i="2"/>
  <c r="E15" i="3" s="1"/>
  <c r="AK15" i="2"/>
  <c r="F15" i="3" s="1"/>
  <c r="AL15" i="2"/>
  <c r="G15" i="3" s="1"/>
  <c r="AM15" i="2"/>
  <c r="H15" i="3" s="1"/>
  <c r="AN15" i="2"/>
  <c r="I15" i="3" s="1"/>
  <c r="D15" i="3"/>
  <c r="AH15" i="2"/>
  <c r="C15" i="3" s="1"/>
  <c r="T15" i="2"/>
  <c r="J3" i="3" s="1"/>
  <c r="E3" i="3"/>
  <c r="Q15" i="2"/>
  <c r="G3" i="3" s="1"/>
  <c r="R15" i="2"/>
  <c r="H3" i="3" s="1"/>
  <c r="M15" i="2"/>
  <c r="C3" i="3" s="1"/>
  <c r="D19" i="3" l="1"/>
  <c r="AB15" i="2"/>
  <c r="F19" i="3" s="1"/>
  <c r="Y15" i="2"/>
  <c r="C19" i="3" s="1"/>
  <c r="AD29" i="2" l="1"/>
  <c r="C21" i="3" l="1"/>
  <c r="D21" i="3"/>
  <c r="D22" i="3" s="1"/>
  <c r="E21" i="3"/>
  <c r="F21" i="3"/>
  <c r="G21" i="3"/>
  <c r="H21" i="3"/>
  <c r="I21" i="3"/>
  <c r="J21" i="3"/>
  <c r="B21" i="3"/>
  <c r="C20" i="3"/>
  <c r="E20" i="3"/>
  <c r="F20" i="3"/>
  <c r="G20" i="3"/>
  <c r="H20" i="3"/>
  <c r="I20" i="3"/>
  <c r="B20" i="3"/>
  <c r="D41" i="2"/>
  <c r="C8" i="3" s="1"/>
  <c r="E41" i="2"/>
  <c r="D8" i="3" s="1"/>
  <c r="F41" i="2"/>
  <c r="E8" i="3" s="1"/>
  <c r="G41" i="2"/>
  <c r="F8" i="3" s="1"/>
  <c r="H41" i="2"/>
  <c r="G8" i="3" s="1"/>
  <c r="I41" i="2"/>
  <c r="H8" i="3" s="1"/>
  <c r="J41" i="2"/>
  <c r="K41" i="2"/>
  <c r="J8" i="3" s="1"/>
  <c r="C9" i="3"/>
  <c r="D9" i="3"/>
  <c r="E9" i="3"/>
  <c r="F9" i="3"/>
  <c r="G9" i="3"/>
  <c r="H9" i="3"/>
  <c r="I9" i="3"/>
  <c r="J9" i="3"/>
  <c r="B22" i="3" l="1"/>
  <c r="I8" i="3"/>
  <c r="T41" i="2"/>
  <c r="L41" i="2"/>
  <c r="S41" i="2"/>
  <c r="M41" i="2"/>
  <c r="R41" i="2"/>
  <c r="Q41" i="2"/>
  <c r="P41" i="2"/>
  <c r="O41" i="2"/>
  <c r="L55" i="2" l="1"/>
  <c r="AG55" i="2"/>
  <c r="O55" i="2"/>
  <c r="AJ41" i="2"/>
  <c r="AL41" i="2"/>
  <c r="AI55" i="2"/>
  <c r="AI41" i="2"/>
  <c r="AM41" i="2"/>
  <c r="AN41" i="2"/>
  <c r="AO41" i="2"/>
  <c r="AK41" i="2"/>
  <c r="M55" i="2"/>
  <c r="P55" i="2"/>
  <c r="Q55" i="2"/>
  <c r="R55" i="2"/>
  <c r="S55" i="2"/>
  <c r="T55" i="2"/>
  <c r="AL55" i="2"/>
  <c r="AM55" i="2"/>
  <c r="AH41" i="2"/>
  <c r="AN55" i="2"/>
  <c r="AO55" i="2"/>
  <c r="AH55" i="2"/>
  <c r="AG41" i="2"/>
  <c r="AD43" i="2"/>
  <c r="X43" i="2"/>
  <c r="X29" i="2"/>
  <c r="AF15" i="2"/>
  <c r="J19" i="3" s="1"/>
  <c r="J22" i="3" s="1"/>
  <c r="AE15" i="2"/>
  <c r="I19" i="3" s="1"/>
  <c r="I22" i="3" s="1"/>
  <c r="AD15" i="2"/>
  <c r="H19" i="3" s="1"/>
  <c r="H22" i="3" s="1"/>
  <c r="AC15" i="2"/>
  <c r="G19" i="3" s="1"/>
  <c r="AA15" i="2"/>
  <c r="E19" i="3" s="1"/>
  <c r="J10" i="3"/>
  <c r="R2" i="2"/>
  <c r="AM2" i="2" s="1"/>
  <c r="H10" i="3" l="1"/>
  <c r="AJ55" i="2"/>
  <c r="AK55" i="2"/>
  <c r="A20" i="3"/>
  <c r="B8" i="3" l="1"/>
  <c r="B9" i="3" l="1"/>
  <c r="B10" i="3" s="1"/>
  <c r="D10" i="3"/>
  <c r="F10" i="3"/>
  <c r="F22" i="3" l="1"/>
  <c r="C22" i="3" l="1"/>
  <c r="E22" i="3"/>
  <c r="G22" i="3"/>
  <c r="C10" i="3" l="1"/>
  <c r="E10" i="3"/>
  <c r="G10" i="3" l="1"/>
  <c r="S15" i="2"/>
  <c r="I3" i="3" s="1"/>
  <c r="I10" i="3" s="1"/>
</calcChain>
</file>

<file path=xl/sharedStrings.xml><?xml version="1.0" encoding="utf-8"?>
<sst xmlns="http://schemas.openxmlformats.org/spreadsheetml/2006/main" count="337" uniqueCount="65">
  <si>
    <t>LOCATION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</si>
  <si>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</si>
  <si>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</si>
  <si>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</si>
  <si>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</si>
  <si>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</si>
  <si>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</si>
  <si>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</si>
  <si>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</si>
  <si>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</si>
  <si>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</si>
  <si>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UNITHAI</t>
  </si>
  <si>
    <t>TOTAL AT BKK</t>
  </si>
  <si>
    <t>TOTAL AT LCH</t>
  </si>
  <si>
    <t>STOCK END WK</t>
  </si>
  <si>
    <t>DAILY CONTAINER STOCK</t>
  </si>
  <si>
    <t>FULL INBOUND (BKK)</t>
  </si>
  <si>
    <t>FULL INBOUND (LCH)</t>
  </si>
  <si>
    <t>LEASE IN</t>
    <phoneticPr fontId="1" type="noConversion"/>
  </si>
  <si>
    <t>REPO (E/P)</t>
  </si>
  <si>
    <t>JWD</t>
  </si>
  <si>
    <t>TERMINAL</t>
  </si>
  <si>
    <t>DEPOT</t>
  </si>
  <si>
    <t>ICD</t>
  </si>
  <si>
    <t>TIFFA</t>
  </si>
  <si>
    <t>YJC</t>
  </si>
  <si>
    <t>CDS</t>
  </si>
  <si>
    <t>ESCO</t>
  </si>
  <si>
    <t>LCMT</t>
  </si>
  <si>
    <t>LCIT</t>
  </si>
  <si>
    <r>
      <t>REPO IN</t>
    </r>
    <r>
      <rPr>
        <sz val="11"/>
        <color theme="1"/>
        <rFont val="돋움"/>
        <family val="3"/>
        <charset val="129"/>
      </rPr>
      <t>（</t>
    </r>
    <r>
      <rPr>
        <sz val="11"/>
        <color theme="1"/>
        <rFont val="Calibri"/>
        <family val="2"/>
        <scheme val="minor"/>
      </rPr>
      <t>E/P</t>
    </r>
    <r>
      <rPr>
        <sz val="11"/>
        <color theme="1"/>
        <rFont val="돋움"/>
        <family val="3"/>
        <charset val="129"/>
      </rPr>
      <t>）　　　　　　　　　</t>
    </r>
  </si>
  <si>
    <t>TIPS</t>
  </si>
  <si>
    <t xml:space="preserve">   </t>
  </si>
  <si>
    <t>PH</t>
  </si>
  <si>
    <t>DATE:</t>
  </si>
  <si>
    <t>CURRENT STOCK</t>
  </si>
  <si>
    <t>SKR-THBKK</t>
  </si>
  <si>
    <t>Item</t>
  </si>
  <si>
    <t>E/P In (this week)</t>
  </si>
  <si>
    <t>E/P In (next week)</t>
  </si>
  <si>
    <t>IED(Estimated)</t>
  </si>
  <si>
    <t>Balance</t>
  </si>
  <si>
    <t>SKR-THLCH</t>
  </si>
  <si>
    <t>Current Stock</t>
  </si>
  <si>
    <t xml:space="preserve"> </t>
  </si>
  <si>
    <t>BOOKING W 1</t>
  </si>
  <si>
    <t>BOOKING W 2</t>
  </si>
  <si>
    <t>TOTAL</t>
  </si>
  <si>
    <t>THERMOKING</t>
  </si>
  <si>
    <t>DAIKIN</t>
  </si>
  <si>
    <t>CARRIER</t>
  </si>
  <si>
    <t>YEAR BUILT</t>
  </si>
  <si>
    <t>YJC II</t>
  </si>
  <si>
    <t>LCHZZ</t>
  </si>
  <si>
    <t xml:space="preserve">CDS LCH </t>
  </si>
  <si>
    <t>HUT+KSSP</t>
  </si>
  <si>
    <t>BKK</t>
  </si>
  <si>
    <t>LCH</t>
  </si>
  <si>
    <t>Lease In HAL</t>
  </si>
  <si>
    <t>-</t>
  </si>
  <si>
    <t>25/09/2026</t>
  </si>
  <si>
    <t>25-04/10/2026</t>
  </si>
  <si>
    <t>05-11/10/2026</t>
  </si>
  <si>
    <t>Booking (25-04/10)2026</t>
  </si>
  <si>
    <t>Booking (05-11/10)2026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</si>
</sst>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\-0;;"/>
    <numFmt numFmtId="165" formatCode="0;\-0;;\ "/>
    <numFmt numFmtId="166" formatCode="0;\-0;\-;\ "/>
  </numFmts>
  <fonts count="35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name val="Arial"/>
      <family val="2"/>
    </font>
    <font>
      <sz val="11"/>
      <color theme="1"/>
      <name val="돋움"/>
      <family val="3"/>
      <charset val="129"/>
    </font>
    <font>
      <b/>
      <sz val="11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.5"/>
      <name val="Tahoma"/>
      <family val="2"/>
    </font>
    <font>
      <b/>
      <sz val="8.5"/>
      <color rgb="FF0000FF"/>
      <name val="Tahoma"/>
      <family val="2"/>
    </font>
    <font>
      <sz val="8.5"/>
      <color theme="1"/>
      <name val="Tahoma"/>
      <family val="2"/>
    </font>
    <font>
      <sz val="8"/>
      <name val="Tahoma"/>
      <family val="2"/>
    </font>
    <font>
      <sz val="8"/>
      <color rgb="FF0000FF"/>
      <name val="Tahoma"/>
      <family val="2"/>
    </font>
    <font>
      <sz val="7"/>
      <color theme="1"/>
      <name val="Tahoma"/>
      <family val="2"/>
    </font>
    <font>
      <b/>
      <sz val="8"/>
      <color rgb="FF0000FF"/>
      <name val="Tahoma"/>
      <family val="2"/>
    </font>
    <font>
      <b/>
      <sz val="8.5"/>
      <color theme="1"/>
      <name val="Tahoma"/>
      <family val="2"/>
    </font>
    <font>
      <sz val="11"/>
      <color rgb="FFFF0000"/>
      <name val="Tahoma"/>
      <family val="2"/>
    </font>
    <font>
      <sz val="10"/>
      <color theme="1"/>
      <name val="Tahom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name val="Tahoma"/>
      <family val="2"/>
    </font>
    <font>
      <sz val="14"/>
      <name val="Cordia New"/>
      <family val="2"/>
    </font>
    <font>
      <sz val="11"/>
      <name val="Tahoma"/>
      <family val="2"/>
    </font>
    <font>
      <sz val="14"/>
      <name val="Cordia New"/>
      <family val="2"/>
    </font>
    <font>
      <sz val="9"/>
      <color theme="1"/>
      <name val="Tahoma"/>
      <family val="2"/>
    </font>
    <font>
      <sz val="9"/>
      <color rgb="FF0000FF"/>
      <name val="Tahoma"/>
      <family val="2"/>
    </font>
    <font>
      <sz val="9"/>
      <name val="Tahoma"/>
      <family val="2"/>
    </font>
    <font>
      <b/>
      <sz val="10"/>
      <color theme="1"/>
      <name val="Tahoma"/>
      <family val="2"/>
    </font>
    <font>
      <sz val="8"/>
      <color rgb="FFFF0000"/>
      <name val="Tahoma"/>
      <family val="2"/>
    </font>
    <font>
      <b/>
      <sz val="12"/>
      <color theme="1"/>
      <name val="Calibri"/>
      <family val="2"/>
      <scheme val="minor"/>
    </font>
    <font>
      <b/>
      <sz val="11"/>
      <name val="Malgun Gothic"/>
      <family val="2"/>
    </font>
    <font>
      <b/>
      <sz val="9"/>
      <name val="Malgun Gothic"/>
      <family val="2"/>
    </font>
    <font>
      <b/>
      <sz val="16"/>
      <color theme="1"/>
      <name val="Calibri"/>
      <family val="2"/>
      <scheme val="minor"/>
    </font>
    <font>
      <sz val="11"/>
      <color theme="1"/>
      <name val="Malgun Gothic"/>
      <family val="2"/>
    </font>
    <font>
      <b/>
      <u val="double"/>
      <sz val="11"/>
      <color theme="1"/>
      <name val="Malgun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/>
    <xf numFmtId="0" fontId="20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</cellStyleXfs>
  <cellXfs count="12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" fillId="0" borderId="0" xfId="1"/>
    <xf numFmtId="0" fontId="14" fillId="2" borderId="13" xfId="0" applyFont="1" applyFill="1" applyBorder="1" applyAlignment="1">
      <alignment vertical="center"/>
    </xf>
    <xf numFmtId="0" fontId="14" fillId="2" borderId="18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18" fillId="5" borderId="27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8" fillId="6" borderId="28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8" fillId="7" borderId="28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7" borderId="27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3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164" fontId="10" fillId="0" borderId="13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165" fontId="29" fillId="0" borderId="29" xfId="0" applyNumberFormat="1" applyFont="1" applyBorder="1" applyAlignment="1">
      <alignment horizontal="right"/>
    </xf>
    <xf numFmtId="166" fontId="30" fillId="0" borderId="29" xfId="3" applyNumberFormat="1" applyFont="1" applyBorder="1" applyAlignment="1">
      <alignment horizontal="center" vertical="center"/>
    </xf>
    <xf numFmtId="0" fontId="30" fillId="0" borderId="29" xfId="3" applyFont="1" applyBorder="1" applyAlignment="1">
      <alignment horizontal="center" vertical="center"/>
    </xf>
    <xf numFmtId="0" fontId="30" fillId="0" borderId="30" xfId="3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0" fillId="0" borderId="33" xfId="3" applyFont="1" applyBorder="1" applyAlignment="1">
      <alignment horizontal="center" vertical="center" wrapText="1"/>
    </xf>
    <xf numFmtId="0" fontId="33" fillId="0" borderId="0" xfId="0" applyFont="1"/>
    <xf numFmtId="0" fontId="34" fillId="0" borderId="29" xfId="0" applyFont="1" applyBorder="1" applyAlignment="1">
      <alignment horizontal="right"/>
    </xf>
    <xf numFmtId="0" fontId="24" fillId="8" borderId="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7" fillId="2" borderId="18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14" fontId="8" fillId="2" borderId="22" xfId="0" applyNumberFormat="1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1" fillId="0" borderId="32" xfId="3" applyFont="1" applyBorder="1" applyAlignment="1">
      <alignment horizontal="center" vertical="center" wrapText="1"/>
    </xf>
    <xf numFmtId="0" fontId="31" fillId="0" borderId="33" xfId="3" applyFont="1" applyBorder="1" applyAlignment="1">
      <alignment horizontal="center" vertical="center" wrapText="1"/>
    </xf>
  </cellXfs>
  <cellStyles count="45">
    <cellStyle name="Comma 2" xfId="5" xr:uid="{00000000-0005-0000-0000-000000000000}"/>
    <cellStyle name="Comma 2 2" xfId="18" xr:uid="{00000000-0005-0000-0000-000001000000}"/>
    <cellStyle name="Comma 3" xfId="7" xr:uid="{00000000-0005-0000-0000-000002000000}"/>
    <cellStyle name="Comma 3 2" xfId="20" xr:uid="{00000000-0005-0000-0000-000003000000}"/>
    <cellStyle name="Normal" xfId="0" builtinId="0"/>
    <cellStyle name="Normal 10" xfId="13" xr:uid="{00000000-0005-0000-0000-000005000000}"/>
    <cellStyle name="Normal 10 2" xfId="26" xr:uid="{00000000-0005-0000-0000-000006000000}"/>
    <cellStyle name="Normal 11" xfId="14" xr:uid="{00000000-0005-0000-0000-000007000000}"/>
    <cellStyle name="Normal 11 2" xfId="27" xr:uid="{00000000-0005-0000-0000-000008000000}"/>
    <cellStyle name="Normal 12" xfId="15" xr:uid="{00000000-0005-0000-0000-000009000000}"/>
    <cellStyle name="Normal 12 2" xfId="28" xr:uid="{00000000-0005-0000-0000-00000A000000}"/>
    <cellStyle name="Normal 13" xfId="16" xr:uid="{00000000-0005-0000-0000-00000B000000}"/>
    <cellStyle name="Normal 14" xfId="29" xr:uid="{00000000-0005-0000-0000-00000C000000}"/>
    <cellStyle name="Normal 15" xfId="33" xr:uid="{00000000-0005-0000-0000-00000D000000}"/>
    <cellStyle name="Normal 16" xfId="35" xr:uid="{00000000-0005-0000-0000-00000E000000}"/>
    <cellStyle name="Normal 17" xfId="36" xr:uid="{00000000-0005-0000-0000-00000F000000}"/>
    <cellStyle name="Normal 18" xfId="37" xr:uid="{00000000-0005-0000-0000-000010000000}"/>
    <cellStyle name="Normal 19" xfId="38" xr:uid="{00000000-0005-0000-0000-000011000000}"/>
    <cellStyle name="Normal 2" xfId="1" xr:uid="{00000000-0005-0000-0000-000012000000}"/>
    <cellStyle name="Normal 2 2" xfId="3" xr:uid="{00000000-0005-0000-0000-000013000000}"/>
    <cellStyle name="Normal 20" xfId="42" xr:uid="{00000000-0005-0000-0000-000014000000}"/>
    <cellStyle name="Normal 21" xfId="2" xr:uid="{00000000-0005-0000-0000-000015000000}"/>
    <cellStyle name="Normal 22" xfId="44" xr:uid="{00000000-0005-0000-0000-000016000000}"/>
    <cellStyle name="Normal 3" xfId="4" xr:uid="{00000000-0005-0000-0000-000017000000}"/>
    <cellStyle name="Normal 3 2" xfId="17" xr:uid="{00000000-0005-0000-0000-000018000000}"/>
    <cellStyle name="Normal 4" xfId="6" xr:uid="{00000000-0005-0000-0000-000019000000}"/>
    <cellStyle name="Normal 4 2" xfId="19" xr:uid="{00000000-0005-0000-0000-00001A000000}"/>
    <cellStyle name="Normal 5" xfId="8" xr:uid="{00000000-0005-0000-0000-00001B000000}"/>
    <cellStyle name="Normal 5 2" xfId="21" xr:uid="{00000000-0005-0000-0000-00001C000000}"/>
    <cellStyle name="Normal 6" xfId="9" xr:uid="{00000000-0005-0000-0000-00001D000000}"/>
    <cellStyle name="Normal 6 2" xfId="22" xr:uid="{00000000-0005-0000-0000-00001E000000}"/>
    <cellStyle name="Normal 7" xfId="10" xr:uid="{00000000-0005-0000-0000-00001F000000}"/>
    <cellStyle name="Normal 7 2" xfId="23" xr:uid="{00000000-0005-0000-0000-000020000000}"/>
    <cellStyle name="Normal 8" xfId="11" xr:uid="{00000000-0005-0000-0000-000021000000}"/>
    <cellStyle name="Normal 8 2" xfId="24" xr:uid="{00000000-0005-0000-0000-000022000000}"/>
    <cellStyle name="Normal 9" xfId="12" xr:uid="{00000000-0005-0000-0000-000023000000}"/>
    <cellStyle name="Normal 9 2" xfId="25" xr:uid="{00000000-0005-0000-0000-000024000000}"/>
    <cellStyle name="ปกติ 2" xfId="30" xr:uid="{00000000-0005-0000-0000-000025000000}"/>
    <cellStyle name="ปกติ 3" xfId="31" xr:uid="{00000000-0005-0000-0000-000026000000}"/>
    <cellStyle name="ปกติ 4" xfId="32" xr:uid="{00000000-0005-0000-0000-000027000000}"/>
    <cellStyle name="ปกติ 5" xfId="34" xr:uid="{00000000-0005-0000-0000-000028000000}"/>
    <cellStyle name="ปกติ 6" xfId="39" xr:uid="{00000000-0005-0000-0000-000029000000}"/>
    <cellStyle name="ปกติ 7" xfId="40" xr:uid="{00000000-0005-0000-0000-00002A000000}"/>
    <cellStyle name="ปกติ 8" xfId="41" xr:uid="{00000000-0005-0000-0000-00002B000000}"/>
    <cellStyle name="ปกติ 9" xfId="43" xr:uid="{00000000-0005-0000-0000-00002C000000}"/>
  </cellStyles>
  <dxfs count="27">
    <dxf>
      <font>
        <color rgb="FF0000FF"/>
      </font>
    </dxf>
    <dxf>
      <font>
        <color rgb="FF0000FF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51594</xdr:colOff>
      <xdr:row>0</xdr:row>
      <xdr:rowOff>87974</xdr:rowOff>
    </xdr:from>
    <xdr:to>
      <xdr:col>11</xdr:col>
      <xdr:colOff>4180</xdr:colOff>
      <xdr:row>0</xdr:row>
      <xdr:rowOff>568457</xdr:rowOff>
    </xdr:to>
    <xdr:pic>
      <xdr:nvPicPr>
        <xdr:cNvPr id="5" name="그림 3" descr="로고_흥아라인">
          <a:extLst>
            <a:ext uri="{FF2B5EF4-FFF2-40B4-BE49-F238E27FC236}">
              <a16:creationId xmlns:a16="http://schemas.microsoft.com/office/drawing/2014/main" id="{C9AEDB95-42C2-41C1-9050-7F8F803F0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1677" y="87974"/>
          <a:ext cx="1870075" cy="470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216064</xdr:colOff>
      <xdr:row>0</xdr:row>
      <xdr:rowOff>59881</xdr:rowOff>
    </xdr:from>
    <xdr:to>
      <xdr:col>6</xdr:col>
      <xdr:colOff>263016</xdr:colOff>
      <xdr:row>0</xdr:row>
      <xdr:rowOff>604895</xdr:rowOff>
    </xdr:to>
    <xdr:pic>
      <xdr:nvPicPr>
        <xdr:cNvPr id="3" name="Content Placeholder 3">
          <a:extLst>
            <a:ext uri="{FF2B5EF4-FFF2-40B4-BE49-F238E27FC236}">
              <a16:creationId xmlns:a16="http://schemas.microsoft.com/office/drawing/2014/main" id="{C090EF87-C827-4C2F-92D6-97EEEDFB1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9970" y="59881"/>
          <a:ext cx="648774" cy="541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60"/>
  <sheetViews>
    <sheetView showGridLines="0" tabSelected="1" zoomScaleNormal="100" workbookViewId="0">
      <selection activeCell="C4" sqref="C4"/>
    </sheetView>
  </sheetViews>
  <sheetFormatPr defaultColWidth="8.85546875" defaultRowHeight="16.899999999999999" customHeight="1"/>
  <cols>
    <col min="1" max="2" width="10.7109375" style="5" customWidth="1"/>
    <col min="3" max="10" width="4.5703125" style="5" customWidth="1"/>
    <col min="11" max="11" width="5.7109375" style="5" customWidth="1"/>
    <col min="12" max="12" width="5.140625" style="5" customWidth="1"/>
    <col min="13" max="16" width="4.5703125" style="5" customWidth="1"/>
    <col min="17" max="17" width="4.85546875" style="5" customWidth="1"/>
    <col min="18" max="20" width="4.5703125" style="5" customWidth="1"/>
    <col min="21" max="21" width="3" style="5" hidden="1" customWidth="1"/>
    <col min="22" max="23" width="10.7109375" style="5" customWidth="1"/>
    <col min="24" max="28" width="4.5703125" style="5" customWidth="1"/>
    <col min="29" max="29" width="5" style="5" customWidth="1"/>
    <col min="30" max="31" width="4.5703125" style="5" customWidth="1"/>
    <col min="32" max="32" width="5.42578125" style="5" customWidth="1"/>
    <col min="33" max="33" width="4.85546875" style="5" customWidth="1"/>
    <col min="34" max="34" width="4.5703125" style="5" customWidth="1"/>
    <col min="35" max="35" width="5.28515625" style="5" customWidth="1"/>
    <col min="36" max="41" width="4.5703125" style="5" customWidth="1"/>
    <col min="42" max="42" width="8.85546875" style="5"/>
    <col min="43" max="43" width="10.140625" style="5" customWidth="1"/>
    <col min="44" max="16384" width="8.85546875" style="5"/>
  </cols>
  <sheetData>
    <row r="1" spans="1:41" s="2" customFormat="1" ht="55.5" customHeight="1" thickBot="1">
      <c r="A1" s="1" t="s">
        <v>15</v>
      </c>
      <c r="B1" s="1"/>
      <c r="V1" s="1"/>
      <c r="W1" s="1"/>
      <c r="AK1" s="2" t="s">
        <v>34</v>
      </c>
      <c r="AL1" s="112" t="s">
        <v>60</v>
      </c>
      <c r="AM1" s="113"/>
      <c r="AN1" s="113"/>
      <c r="AO1" s="113"/>
    </row>
    <row r="2" spans="1:41" s="3" customFormat="1" ht="16.899999999999999" customHeight="1">
      <c r="A2" s="98" t="s">
        <v>0</v>
      </c>
      <c r="B2" s="99"/>
      <c r="C2" s="114" t="s">
        <v>16</v>
      </c>
      <c r="D2" s="114"/>
      <c r="E2" s="114"/>
      <c r="F2" s="114"/>
      <c r="G2" s="114"/>
      <c r="H2" s="114"/>
      <c r="I2" s="114"/>
      <c r="J2" s="114"/>
      <c r="K2" s="115"/>
      <c r="L2" s="105" t="s">
        <v>35</v>
      </c>
      <c r="M2" s="103"/>
      <c r="N2" s="103"/>
      <c r="O2" s="103"/>
      <c r="P2" s="103"/>
      <c r="Q2" s="106"/>
      <c r="R2" s="102" t="str">
        <f>AL1</f>
        <v>25/09/2026</v>
      </c>
      <c r="S2" s="103"/>
      <c r="T2" s="104"/>
      <c r="V2" s="98" t="s">
        <v>0</v>
      </c>
      <c r="W2" s="99"/>
      <c r="X2" s="114" t="s">
        <v>17</v>
      </c>
      <c r="Y2" s="114"/>
      <c r="Z2" s="114"/>
      <c r="AA2" s="114"/>
      <c r="AB2" s="114"/>
      <c r="AC2" s="114"/>
      <c r="AD2" s="114"/>
      <c r="AE2" s="114"/>
      <c r="AF2" s="115"/>
      <c r="AG2" s="105" t="s">
        <v>35</v>
      </c>
      <c r="AH2" s="103"/>
      <c r="AI2" s="103"/>
      <c r="AJ2" s="103"/>
      <c r="AK2" s="103"/>
      <c r="AL2" s="106"/>
      <c r="AM2" s="102" t="str">
        <f>R2</f>
        <v>25/09/2026</v>
      </c>
      <c r="AN2" s="103"/>
      <c r="AO2" s="104"/>
    </row>
    <row r="3" spans="1:41" ht="16.149999999999999" customHeight="1">
      <c r="A3" s="100"/>
      <c r="B3" s="101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32" t="s">
        <v>9</v>
      </c>
      <c r="L3" s="53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4" t="s">
        <v>6</v>
      </c>
      <c r="R3" s="4" t="s">
        <v>7</v>
      </c>
      <c r="S3" s="4" t="s">
        <v>8</v>
      </c>
      <c r="T3" s="14" t="s">
        <v>9</v>
      </c>
      <c r="V3" s="100"/>
      <c r="W3" s="101"/>
      <c r="X3" s="4" t="s">
        <v>1</v>
      </c>
      <c r="Y3" s="4" t="s">
        <v>2</v>
      </c>
      <c r="Z3" s="4" t="s">
        <v>3</v>
      </c>
      <c r="AA3" s="4" t="s">
        <v>4</v>
      </c>
      <c r="AB3" s="4" t="s">
        <v>5</v>
      </c>
      <c r="AC3" s="4" t="s">
        <v>6</v>
      </c>
      <c r="AD3" s="4" t="s">
        <v>7</v>
      </c>
      <c r="AE3" s="4" t="s">
        <v>8</v>
      </c>
      <c r="AF3" s="32" t="s">
        <v>9</v>
      </c>
      <c r="AG3" s="53" t="s">
        <v>1</v>
      </c>
      <c r="AH3" s="4" t="s">
        <v>2</v>
      </c>
      <c r="AI3" s="4" t="s">
        <v>3</v>
      </c>
      <c r="AJ3" s="4" t="s">
        <v>4</v>
      </c>
      <c r="AK3" s="4" t="s">
        <v>5</v>
      </c>
      <c r="AL3" s="4" t="s">
        <v>6</v>
      </c>
      <c r="AM3" s="4" t="s">
        <v>7</v>
      </c>
      <c r="AN3" s="4" t="s">
        <v>8</v>
      </c>
      <c r="AO3" s="14" t="s">
        <v>9</v>
      </c>
    </row>
    <row r="4" spans="1:41" ht="16.149999999999999" customHeight="1">
      <c r="A4" s="8" t="s">
        <v>10</v>
      </c>
      <c r="B4" s="7" t="s">
        <v>21</v>
      </c>
      <c r="C4" s="54">
        <v>301</v>
      </c>
      <c r="D4" s="54"/>
      <c r="E4" s="54">
        <v>182</v>
      </c>
      <c r="F4" s="54">
        <v>6</v>
      </c>
      <c r="G4" s="54">
        <v>10</v>
      </c>
      <c r="H4" s="54"/>
      <c r="I4" s="54"/>
      <c r="J4" s="54"/>
      <c r="K4" s="55"/>
      <c r="L4" s="62">
        <v>42</v>
      </c>
      <c r="M4" s="63"/>
      <c r="N4" s="63">
        <v>62</v>
      </c>
      <c r="O4" s="63">
        <v>0</v>
      </c>
      <c r="P4" s="63">
        <v>0</v>
      </c>
      <c r="Q4" s="63"/>
      <c r="R4" s="63">
        <v>0</v>
      </c>
      <c r="S4" s="63">
        <v>0</v>
      </c>
      <c r="T4" s="64"/>
      <c r="V4" s="8" t="s">
        <v>28</v>
      </c>
      <c r="W4" s="7" t="s">
        <v>21</v>
      </c>
      <c r="X4" s="56">
        <v>183</v>
      </c>
      <c r="Y4" s="56">
        <v>0</v>
      </c>
      <c r="Z4" s="56">
        <v>176</v>
      </c>
      <c r="AA4" s="56"/>
      <c r="AB4" s="56"/>
      <c r="AC4" s="56"/>
      <c r="AD4" s="56"/>
      <c r="AE4" s="56"/>
      <c r="AF4" s="66"/>
      <c r="AG4" s="35"/>
      <c r="AH4" s="31"/>
      <c r="AI4" s="31"/>
      <c r="AJ4" s="31"/>
      <c r="AK4" s="31"/>
      <c r="AL4" s="31"/>
      <c r="AM4" s="31"/>
      <c r="AN4" s="31"/>
      <c r="AO4" s="20"/>
    </row>
    <row r="5" spans="1:41" ht="16.149999999999999" customHeight="1">
      <c r="A5" s="8" t="s">
        <v>11</v>
      </c>
      <c r="B5" s="7" t="s">
        <v>21</v>
      </c>
      <c r="C5" s="54">
        <v>60</v>
      </c>
      <c r="D5" s="54"/>
      <c r="E5" s="54">
        <v>24</v>
      </c>
      <c r="F5" s="54"/>
      <c r="G5" s="54">
        <v>1</v>
      </c>
      <c r="H5" s="54"/>
      <c r="I5" s="54">
        <v>0</v>
      </c>
      <c r="J5" s="54"/>
      <c r="K5" s="55"/>
      <c r="L5" s="62">
        <v>38</v>
      </c>
      <c r="M5" s="63">
        <v>0</v>
      </c>
      <c r="N5" s="63">
        <v>106</v>
      </c>
      <c r="O5" s="63"/>
      <c r="P5" s="63"/>
      <c r="Q5" s="63"/>
      <c r="R5" s="63">
        <v>0</v>
      </c>
      <c r="S5" s="63">
        <v>0</v>
      </c>
      <c r="T5" s="64"/>
      <c r="V5" s="8" t="s">
        <v>55</v>
      </c>
      <c r="W5" s="7" t="s">
        <v>21</v>
      </c>
      <c r="X5" s="54">
        <v>57</v>
      </c>
      <c r="Y5" s="54"/>
      <c r="Z5" s="54">
        <v>71</v>
      </c>
      <c r="AA5" s="56"/>
      <c r="AB5" s="56"/>
      <c r="AC5" s="56"/>
      <c r="AD5" s="56"/>
      <c r="AE5" s="56"/>
      <c r="AF5" s="66"/>
      <c r="AG5" s="35"/>
      <c r="AH5" s="31"/>
      <c r="AI5" s="31"/>
      <c r="AJ5" s="31"/>
      <c r="AK5" s="31"/>
      <c r="AL5" s="31"/>
      <c r="AM5" s="31"/>
      <c r="AN5" s="31"/>
      <c r="AO5" s="20"/>
    </row>
    <row r="6" spans="1:41" ht="14.25" customHeight="1">
      <c r="A6" s="86"/>
      <c r="B6" s="87"/>
      <c r="C6" s="54"/>
      <c r="D6" s="54"/>
      <c r="E6" s="54"/>
      <c r="F6" s="56"/>
      <c r="G6" s="65"/>
      <c r="H6" s="56"/>
      <c r="I6" s="56"/>
      <c r="J6" s="56"/>
      <c r="K6" s="66"/>
      <c r="L6" s="62"/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/>
      <c r="T6" s="64"/>
      <c r="V6" s="90"/>
      <c r="W6" s="7" t="s">
        <v>21</v>
      </c>
      <c r="X6" s="54"/>
      <c r="Y6" s="54"/>
      <c r="Z6" s="54"/>
      <c r="AA6" s="56"/>
      <c r="AB6" s="56"/>
      <c r="AC6" s="56"/>
      <c r="AD6" s="56"/>
      <c r="AE6" s="56"/>
      <c r="AF6" s="66">
        <v>0</v>
      </c>
      <c r="AG6" s="35"/>
      <c r="AH6" s="31"/>
      <c r="AI6" s="31"/>
      <c r="AJ6" s="31"/>
      <c r="AK6" s="31"/>
      <c r="AL6" s="31"/>
      <c r="AM6" s="31"/>
      <c r="AN6" s="31"/>
      <c r="AO6" s="20"/>
    </row>
    <row r="7" spans="1:41" ht="16.149999999999999" customHeight="1">
      <c r="A7" s="82" t="s">
        <v>52</v>
      </c>
      <c r="B7" s="7" t="s">
        <v>22</v>
      </c>
      <c r="C7" s="54"/>
      <c r="D7" s="54"/>
      <c r="E7" s="54"/>
      <c r="F7" s="56"/>
      <c r="G7" s="56"/>
      <c r="H7" s="56"/>
      <c r="I7" s="56"/>
      <c r="J7" s="56"/>
      <c r="K7" s="66"/>
      <c r="L7" s="62">
        <v>246</v>
      </c>
      <c r="M7" s="63"/>
      <c r="N7" s="63">
        <v>230</v>
      </c>
      <c r="O7" s="63"/>
      <c r="P7" s="63">
        <v>0</v>
      </c>
      <c r="Q7" s="63">
        <v>0</v>
      </c>
      <c r="R7" s="63">
        <v>0</v>
      </c>
      <c r="S7" s="63"/>
      <c r="T7" s="64"/>
      <c r="V7" s="8" t="s">
        <v>27</v>
      </c>
      <c r="W7" s="7" t="s">
        <v>21</v>
      </c>
      <c r="X7" s="56">
        <v>20</v>
      </c>
      <c r="Y7" s="56">
        <v>0</v>
      </c>
      <c r="Z7" s="56">
        <v>33</v>
      </c>
      <c r="AA7" s="56">
        <v>0</v>
      </c>
      <c r="AB7" s="56">
        <v>0</v>
      </c>
      <c r="AC7" s="56"/>
      <c r="AD7" s="56"/>
      <c r="AE7" s="56">
        <v>1</v>
      </c>
      <c r="AF7" s="66"/>
      <c r="AG7" s="62"/>
      <c r="AH7" s="63"/>
      <c r="AI7" s="63"/>
      <c r="AJ7" s="63"/>
      <c r="AK7" s="63"/>
      <c r="AL7" s="63"/>
      <c r="AM7" s="63"/>
      <c r="AN7" s="63"/>
      <c r="AO7" s="64"/>
    </row>
    <row r="8" spans="1:41" ht="16.149999999999999" customHeight="1">
      <c r="A8" s="8" t="s">
        <v>26</v>
      </c>
      <c r="B8" s="7" t="s">
        <v>22</v>
      </c>
      <c r="C8" s="54"/>
      <c r="D8" s="54"/>
      <c r="E8" s="54"/>
      <c r="F8" s="56"/>
      <c r="G8" s="56"/>
      <c r="H8" s="56"/>
      <c r="I8" s="56"/>
      <c r="J8" s="56"/>
      <c r="K8" s="66"/>
      <c r="L8" s="62">
        <v>1225</v>
      </c>
      <c r="M8" s="63">
        <v>2</v>
      </c>
      <c r="N8" s="67">
        <v>793</v>
      </c>
      <c r="O8" s="63">
        <v>31</v>
      </c>
      <c r="P8" s="63">
        <v>70</v>
      </c>
      <c r="Q8" s="63"/>
      <c r="R8" s="63"/>
      <c r="S8" s="63"/>
      <c r="T8" s="64">
        <v>2</v>
      </c>
      <c r="V8" s="8" t="s">
        <v>29</v>
      </c>
      <c r="W8" s="7" t="s">
        <v>21</v>
      </c>
      <c r="X8" s="54">
        <v>7</v>
      </c>
      <c r="Y8" s="54"/>
      <c r="Z8" s="54">
        <v>7</v>
      </c>
      <c r="AA8" s="56"/>
      <c r="AB8" s="56">
        <v>1</v>
      </c>
      <c r="AC8" s="56"/>
      <c r="AD8" s="56">
        <v>0</v>
      </c>
      <c r="AE8" s="56">
        <v>0</v>
      </c>
      <c r="AF8" s="66">
        <v>0</v>
      </c>
      <c r="AG8" s="62"/>
      <c r="AH8" s="63"/>
      <c r="AI8" s="63"/>
      <c r="AJ8" s="63"/>
      <c r="AK8" s="63"/>
      <c r="AL8" s="63"/>
      <c r="AM8" s="63"/>
      <c r="AN8" s="63"/>
      <c r="AO8" s="64"/>
    </row>
    <row r="9" spans="1:41" ht="16.149999999999999" customHeight="1">
      <c r="A9" s="8" t="s">
        <v>24</v>
      </c>
      <c r="B9" s="7" t="s">
        <v>23</v>
      </c>
      <c r="C9" s="54">
        <v>0</v>
      </c>
      <c r="D9" s="54"/>
      <c r="E9" s="54"/>
      <c r="F9" s="56">
        <v>0</v>
      </c>
      <c r="G9" s="56">
        <v>0</v>
      </c>
      <c r="H9" s="56"/>
      <c r="I9" s="56"/>
      <c r="J9" s="56"/>
      <c r="K9" s="66"/>
      <c r="L9" s="62">
        <v>0</v>
      </c>
      <c r="M9" s="63">
        <v>0</v>
      </c>
      <c r="N9" s="63">
        <v>0</v>
      </c>
      <c r="O9" s="63"/>
      <c r="P9" s="63"/>
      <c r="Q9" s="63"/>
      <c r="R9" s="63"/>
      <c r="S9" s="63"/>
      <c r="T9" s="64"/>
      <c r="V9" s="8" t="s">
        <v>25</v>
      </c>
      <c r="W9" s="7" t="s">
        <v>22</v>
      </c>
      <c r="X9" s="56"/>
      <c r="Y9" s="56"/>
      <c r="Z9" s="56"/>
      <c r="AA9" s="56"/>
      <c r="AB9" s="56"/>
      <c r="AC9" s="56"/>
      <c r="AD9" s="56"/>
      <c r="AE9" s="56"/>
      <c r="AF9" s="66"/>
      <c r="AG9" s="62">
        <v>1159</v>
      </c>
      <c r="AH9" s="63"/>
      <c r="AI9" s="63">
        <v>843</v>
      </c>
      <c r="AJ9" s="63">
        <v>10</v>
      </c>
      <c r="AK9" s="63">
        <v>70</v>
      </c>
      <c r="AL9" s="63"/>
      <c r="AM9" s="63">
        <v>5</v>
      </c>
      <c r="AN9" s="63">
        <v>2</v>
      </c>
      <c r="AO9" s="64">
        <v>7</v>
      </c>
    </row>
    <row r="10" spans="1:41" ht="16.149999999999999" customHeight="1">
      <c r="A10" s="89"/>
      <c r="B10" s="87"/>
      <c r="C10" s="56"/>
      <c r="D10" s="56"/>
      <c r="E10" s="56"/>
      <c r="F10" s="56"/>
      <c r="G10" s="56"/>
      <c r="H10" s="56"/>
      <c r="I10" s="56"/>
      <c r="J10" s="56"/>
      <c r="K10" s="66"/>
      <c r="L10" s="62"/>
      <c r="M10" s="63"/>
      <c r="N10" s="63"/>
      <c r="O10" s="63"/>
      <c r="P10" s="63"/>
      <c r="Q10" s="63"/>
      <c r="R10" s="63"/>
      <c r="S10" s="63"/>
      <c r="T10" s="64"/>
      <c r="V10" s="8" t="s">
        <v>54</v>
      </c>
      <c r="W10" s="7" t="s">
        <v>22</v>
      </c>
      <c r="X10" s="56"/>
      <c r="Y10" s="56"/>
      <c r="Z10" s="56"/>
      <c r="AA10" s="56"/>
      <c r="AB10" s="56"/>
      <c r="AC10" s="56"/>
      <c r="AD10" s="56"/>
      <c r="AE10" s="56"/>
      <c r="AF10" s="66"/>
      <c r="AG10" s="62">
        <v>194</v>
      </c>
      <c r="AH10" s="63"/>
      <c r="AI10" s="63">
        <v>234</v>
      </c>
      <c r="AJ10" s="63"/>
      <c r="AK10" s="63"/>
      <c r="AL10" s="63"/>
      <c r="AM10" s="63"/>
      <c r="AN10" s="63"/>
      <c r="AO10" s="64"/>
    </row>
    <row r="11" spans="1:41" ht="16.149999999999999" customHeight="1">
      <c r="A11" s="8" t="s">
        <v>27</v>
      </c>
      <c r="B11" s="7" t="s">
        <v>23</v>
      </c>
      <c r="C11" s="56">
        <v>12</v>
      </c>
      <c r="D11" s="56"/>
      <c r="E11" s="56">
        <v>6</v>
      </c>
      <c r="F11" s="56"/>
      <c r="G11" s="56">
        <v>3</v>
      </c>
      <c r="H11" s="56"/>
      <c r="I11" s="56"/>
      <c r="J11" s="56"/>
      <c r="K11" s="66"/>
      <c r="L11" s="62">
        <v>22</v>
      </c>
      <c r="M11" s="63"/>
      <c r="N11" s="63">
        <v>9</v>
      </c>
      <c r="O11" s="63"/>
      <c r="P11" s="63"/>
      <c r="Q11" s="63"/>
      <c r="R11" s="63"/>
      <c r="S11" s="63"/>
      <c r="T11" s="64"/>
      <c r="V11" s="8" t="s">
        <v>33</v>
      </c>
      <c r="W11" s="7" t="s">
        <v>22</v>
      </c>
      <c r="X11" s="56"/>
      <c r="Y11" s="56"/>
      <c r="Z11" s="56"/>
      <c r="AA11" s="56"/>
      <c r="AB11" s="56"/>
      <c r="AC11" s="56"/>
      <c r="AD11" s="56"/>
      <c r="AE11" s="56"/>
      <c r="AF11" s="66"/>
      <c r="AG11" s="62">
        <v>442</v>
      </c>
      <c r="AH11" s="63"/>
      <c r="AI11" s="63">
        <v>242</v>
      </c>
      <c r="AJ11" s="63"/>
      <c r="AK11" s="63"/>
      <c r="AL11" s="63">
        <v>0</v>
      </c>
      <c r="AM11" s="63"/>
      <c r="AN11" s="63">
        <v>0</v>
      </c>
      <c r="AO11" s="64"/>
    </row>
    <row r="12" spans="1:41" ht="16.149999999999999" customHeight="1">
      <c r="A12" s="77"/>
      <c r="B12" s="7"/>
      <c r="C12" s="56"/>
      <c r="D12" s="56"/>
      <c r="E12" s="56"/>
      <c r="F12" s="56"/>
      <c r="G12" s="56"/>
      <c r="H12" s="56"/>
      <c r="I12" s="56"/>
      <c r="J12" s="56"/>
      <c r="K12" s="66"/>
      <c r="L12" s="62"/>
      <c r="M12" s="63"/>
      <c r="N12" s="63"/>
      <c r="O12" s="63"/>
      <c r="P12" s="63"/>
      <c r="Q12" s="63"/>
      <c r="R12" s="56"/>
      <c r="S12" s="63"/>
      <c r="T12" s="64"/>
      <c r="V12" s="8" t="s">
        <v>20</v>
      </c>
      <c r="W12" s="7" t="s">
        <v>23</v>
      </c>
      <c r="X12" s="56">
        <v>2</v>
      </c>
      <c r="Y12" s="56"/>
      <c r="Z12" s="56"/>
      <c r="AA12" s="56"/>
      <c r="AB12" s="68"/>
      <c r="AC12" s="56"/>
      <c r="AD12" s="56"/>
      <c r="AE12" s="56"/>
      <c r="AF12" s="66"/>
      <c r="AG12" s="62"/>
      <c r="AH12" s="63"/>
      <c r="AI12" s="63"/>
      <c r="AJ12" s="63"/>
      <c r="AK12" s="63"/>
      <c r="AL12" s="63"/>
      <c r="AM12" s="63"/>
      <c r="AN12" s="63"/>
      <c r="AO12" s="64"/>
    </row>
    <row r="13" spans="1:41" ht="16.149999999999999" customHeight="1">
      <c r="A13" s="9" t="s">
        <v>18</v>
      </c>
      <c r="B13" s="9"/>
      <c r="C13" s="8"/>
      <c r="D13" s="8"/>
      <c r="E13" s="8"/>
      <c r="F13" s="8"/>
      <c r="G13" s="8"/>
      <c r="H13" s="8"/>
      <c r="I13" s="8"/>
      <c r="J13" s="8"/>
      <c r="K13" s="34"/>
      <c r="L13" s="36"/>
      <c r="M13" s="10"/>
      <c r="N13" s="10"/>
      <c r="O13" s="10"/>
      <c r="P13" s="10"/>
      <c r="Q13" s="10"/>
      <c r="R13" s="10"/>
      <c r="S13" s="10"/>
      <c r="T13" s="37"/>
      <c r="V13" s="70" t="s">
        <v>18</v>
      </c>
      <c r="W13" s="9"/>
      <c r="X13" s="8"/>
      <c r="Y13" s="8"/>
      <c r="Z13" s="8"/>
      <c r="AA13" s="69"/>
      <c r="AB13" s="8"/>
      <c r="AC13" s="8"/>
      <c r="AD13" s="8"/>
      <c r="AE13" s="8"/>
      <c r="AF13" s="34"/>
      <c r="AG13" s="36"/>
      <c r="AH13" s="10"/>
      <c r="AI13" s="10"/>
      <c r="AJ13" s="10"/>
      <c r="AK13" s="10"/>
      <c r="AL13" s="10"/>
      <c r="AM13" s="10"/>
      <c r="AN13" s="10"/>
      <c r="AO13" s="37"/>
    </row>
    <row r="14" spans="1:41" ht="16.149999999999999" customHeight="1">
      <c r="A14" s="70" t="s">
        <v>19</v>
      </c>
      <c r="B14" s="11"/>
      <c r="C14" s="57"/>
      <c r="D14" s="57"/>
      <c r="E14" s="57"/>
      <c r="F14" s="58"/>
      <c r="G14" s="58"/>
      <c r="H14" s="58"/>
      <c r="I14" s="58"/>
      <c r="J14" s="58"/>
      <c r="K14" s="59"/>
      <c r="L14" s="35"/>
      <c r="M14" s="60"/>
      <c r="N14" s="60"/>
      <c r="O14" s="31"/>
      <c r="P14" s="31"/>
      <c r="Q14" s="60"/>
      <c r="R14" s="60"/>
      <c r="S14" s="60"/>
      <c r="T14" s="61"/>
      <c r="V14" s="70" t="s">
        <v>19</v>
      </c>
      <c r="W14" s="9"/>
      <c r="X14" s="70"/>
      <c r="Y14" s="70"/>
      <c r="Z14" s="70"/>
      <c r="AA14" s="70"/>
      <c r="AB14" s="70"/>
      <c r="AC14" s="70"/>
      <c r="AD14" s="70"/>
      <c r="AE14" s="70"/>
      <c r="AF14" s="71"/>
      <c r="AG14" s="36">
        <v>175</v>
      </c>
      <c r="AH14" s="10"/>
      <c r="AI14" s="10"/>
      <c r="AJ14" s="10"/>
      <c r="AK14" s="10"/>
      <c r="AL14" s="31"/>
      <c r="AM14" s="31"/>
      <c r="AN14" s="31"/>
      <c r="AO14" s="20"/>
    </row>
    <row r="15" spans="1:41" ht="21" customHeight="1" thickBot="1">
      <c r="A15" s="96" t="s">
        <v>12</v>
      </c>
      <c r="B15" s="97"/>
      <c r="C15" s="56">
        <f t="shared" ref="C15:T15" si="0">SUM(C4:C14)</f>
        <v>373</v>
      </c>
      <c r="D15" s="56">
        <f t="shared" si="0"/>
        <v>0</v>
      </c>
      <c r="E15" s="56">
        <f t="shared" si="0"/>
        <v>212</v>
      </c>
      <c r="F15" s="56">
        <f t="shared" si="0"/>
        <v>6</v>
      </c>
      <c r="G15" s="56">
        <f t="shared" si="0"/>
        <v>14</v>
      </c>
      <c r="H15" s="56">
        <f t="shared" si="0"/>
        <v>0</v>
      </c>
      <c r="I15" s="56">
        <f t="shared" si="0"/>
        <v>0</v>
      </c>
      <c r="J15" s="56">
        <f t="shared" si="0"/>
        <v>0</v>
      </c>
      <c r="K15" s="56">
        <f t="shared" si="0"/>
        <v>0</v>
      </c>
      <c r="L15" s="74">
        <f t="shared" si="0"/>
        <v>1573</v>
      </c>
      <c r="M15" s="75">
        <f t="shared" si="0"/>
        <v>2</v>
      </c>
      <c r="N15" s="75">
        <f t="shared" si="0"/>
        <v>1200</v>
      </c>
      <c r="O15" s="75">
        <f t="shared" si="0"/>
        <v>31</v>
      </c>
      <c r="P15" s="75">
        <f t="shared" si="0"/>
        <v>70</v>
      </c>
      <c r="Q15" s="75">
        <f t="shared" si="0"/>
        <v>0</v>
      </c>
      <c r="R15" s="75">
        <f t="shared" si="0"/>
        <v>0</v>
      </c>
      <c r="S15" s="75">
        <f t="shared" si="0"/>
        <v>0</v>
      </c>
      <c r="T15" s="76">
        <f t="shared" si="0"/>
        <v>2</v>
      </c>
      <c r="V15" s="96" t="s">
        <v>13</v>
      </c>
      <c r="W15" s="97"/>
      <c r="X15" s="56">
        <f t="shared" ref="X15:AO15" si="1">SUM(X4:X14)</f>
        <v>269</v>
      </c>
      <c r="Y15" s="56">
        <f t="shared" si="1"/>
        <v>0</v>
      </c>
      <c r="Z15" s="56">
        <f t="shared" si="1"/>
        <v>287</v>
      </c>
      <c r="AA15" s="8">
        <f t="shared" si="1"/>
        <v>0</v>
      </c>
      <c r="AB15" s="56">
        <f t="shared" si="1"/>
        <v>1</v>
      </c>
      <c r="AC15" s="8">
        <f t="shared" si="1"/>
        <v>0</v>
      </c>
      <c r="AD15" s="8">
        <f t="shared" si="1"/>
        <v>0</v>
      </c>
      <c r="AE15" s="8">
        <f t="shared" si="1"/>
        <v>1</v>
      </c>
      <c r="AF15" s="34">
        <f t="shared" si="1"/>
        <v>0</v>
      </c>
      <c r="AG15" s="38">
        <f t="shared" si="1"/>
        <v>1970</v>
      </c>
      <c r="AH15" s="24">
        <f t="shared" si="1"/>
        <v>0</v>
      </c>
      <c r="AI15" s="24">
        <f>SUM(AI4:AI14)</f>
        <v>1319</v>
      </c>
      <c r="AJ15" s="24">
        <f t="shared" si="1"/>
        <v>10</v>
      </c>
      <c r="AK15" s="24">
        <f t="shared" si="1"/>
        <v>70</v>
      </c>
      <c r="AL15" s="24">
        <f t="shared" si="1"/>
        <v>0</v>
      </c>
      <c r="AM15" s="24">
        <f t="shared" si="1"/>
        <v>5</v>
      </c>
      <c r="AN15" s="24">
        <f t="shared" si="1"/>
        <v>2</v>
      </c>
      <c r="AO15" s="25">
        <f t="shared" si="1"/>
        <v>7</v>
      </c>
    </row>
    <row r="16" spans="1:41" ht="16.350000000000001" hidden="1" customHeight="1"/>
    <row r="17" spans="1:41" ht="16.350000000000001" hidden="1" customHeight="1">
      <c r="A17" s="116" t="s">
        <v>0</v>
      </c>
      <c r="B17" s="12"/>
      <c r="C17" s="118"/>
      <c r="D17" s="118"/>
      <c r="E17" s="118"/>
      <c r="F17" s="118"/>
      <c r="G17" s="118"/>
      <c r="H17" s="118"/>
      <c r="I17" s="118"/>
      <c r="J17" s="118"/>
      <c r="K17" s="118"/>
      <c r="L17" s="119" t="s">
        <v>14</v>
      </c>
      <c r="M17" s="119"/>
      <c r="N17" s="119"/>
      <c r="O17" s="119"/>
      <c r="P17" s="119"/>
      <c r="Q17" s="119"/>
      <c r="R17" s="119"/>
      <c r="S17" s="119"/>
      <c r="T17" s="120"/>
      <c r="V17" s="116" t="s">
        <v>0</v>
      </c>
      <c r="W17" s="12"/>
      <c r="X17" s="118"/>
      <c r="Y17" s="118"/>
      <c r="Z17" s="118"/>
      <c r="AA17" s="118"/>
      <c r="AB17" s="118"/>
      <c r="AC17" s="118"/>
      <c r="AD17" s="118"/>
      <c r="AE17" s="118"/>
      <c r="AF17" s="118"/>
      <c r="AG17" s="119" t="s">
        <v>14</v>
      </c>
      <c r="AH17" s="119"/>
      <c r="AI17" s="119"/>
      <c r="AJ17" s="119"/>
      <c r="AK17" s="119"/>
      <c r="AL17" s="119"/>
      <c r="AM17" s="119"/>
      <c r="AN17" s="119"/>
      <c r="AO17" s="120"/>
    </row>
    <row r="18" spans="1:41" ht="16.350000000000001" hidden="1" customHeight="1">
      <c r="A18" s="117"/>
      <c r="B18" s="13"/>
      <c r="C18" s="4"/>
      <c r="D18" s="4"/>
      <c r="E18" s="4"/>
      <c r="F18" s="4"/>
      <c r="G18" s="4"/>
      <c r="H18" s="4"/>
      <c r="I18" s="4"/>
      <c r="J18" s="4"/>
      <c r="K18" s="4"/>
      <c r="L18" s="4" t="s">
        <v>1</v>
      </c>
      <c r="M18" s="4" t="s">
        <v>2</v>
      </c>
      <c r="N18" s="4" t="s">
        <v>3</v>
      </c>
      <c r="O18" s="4" t="s">
        <v>4</v>
      </c>
      <c r="P18" s="4" t="s">
        <v>5</v>
      </c>
      <c r="Q18" s="4" t="s">
        <v>6</v>
      </c>
      <c r="R18" s="4" t="s">
        <v>7</v>
      </c>
      <c r="S18" s="4" t="s">
        <v>8</v>
      </c>
      <c r="T18" s="14" t="s">
        <v>9</v>
      </c>
      <c r="V18" s="117"/>
      <c r="W18" s="13"/>
      <c r="X18" s="4"/>
      <c r="Y18" s="4"/>
      <c r="Z18" s="4"/>
      <c r="AA18" s="4"/>
      <c r="AB18" s="4"/>
      <c r="AC18" s="4"/>
      <c r="AD18" s="4"/>
      <c r="AE18" s="4"/>
      <c r="AF18" s="4"/>
      <c r="AG18" s="4" t="s">
        <v>1</v>
      </c>
      <c r="AH18" s="4" t="s">
        <v>2</v>
      </c>
      <c r="AI18" s="4" t="s">
        <v>3</v>
      </c>
      <c r="AJ18" s="4" t="s">
        <v>4</v>
      </c>
      <c r="AK18" s="4" t="s">
        <v>5</v>
      </c>
      <c r="AL18" s="4" t="s">
        <v>6</v>
      </c>
      <c r="AM18" s="4" t="s">
        <v>7</v>
      </c>
      <c r="AN18" s="4" t="s">
        <v>8</v>
      </c>
      <c r="AO18" s="14" t="s">
        <v>9</v>
      </c>
    </row>
    <row r="19" spans="1:41" ht="16.350000000000001" hidden="1" customHeight="1">
      <c r="A19" s="15" t="s">
        <v>30</v>
      </c>
      <c r="B19" s="16"/>
      <c r="C19" s="6"/>
      <c r="D19" s="6"/>
      <c r="E19" s="6"/>
      <c r="F19" s="6"/>
      <c r="G19" s="6"/>
      <c r="H19" s="6"/>
      <c r="I19" s="6"/>
      <c r="J19" s="6"/>
      <c r="K19" s="6"/>
      <c r="L19" s="17"/>
      <c r="M19" s="17"/>
      <c r="N19" s="17"/>
      <c r="O19" s="17"/>
      <c r="P19" s="17"/>
      <c r="Q19" s="17"/>
      <c r="R19" s="17"/>
      <c r="S19" s="17"/>
      <c r="T19" s="18"/>
      <c r="V19" s="15" t="s">
        <v>30</v>
      </c>
      <c r="W19" s="16"/>
      <c r="X19" s="6"/>
      <c r="Y19" s="6"/>
      <c r="Z19" s="6"/>
      <c r="AA19" s="6"/>
      <c r="AB19" s="6"/>
      <c r="AC19" s="6"/>
      <c r="AD19" s="6"/>
      <c r="AE19" s="6"/>
      <c r="AF19" s="6"/>
      <c r="AG19" s="17"/>
      <c r="AH19" s="17"/>
      <c r="AI19" s="17"/>
      <c r="AJ19" s="17"/>
      <c r="AK19" s="17"/>
      <c r="AL19" s="17"/>
      <c r="AM19" s="17"/>
      <c r="AN19" s="17"/>
      <c r="AO19" s="18"/>
    </row>
    <row r="20" spans="1:41" ht="16.350000000000001" hidden="1" customHeight="1">
      <c r="A20" s="15" t="s">
        <v>18</v>
      </c>
      <c r="B20" s="16"/>
      <c r="C20" s="6"/>
      <c r="D20" s="6"/>
      <c r="E20" s="6"/>
      <c r="F20" s="6"/>
      <c r="G20" s="6"/>
      <c r="H20" s="6"/>
      <c r="I20" s="6"/>
      <c r="J20" s="6"/>
      <c r="K20" s="6"/>
      <c r="L20" s="17"/>
      <c r="M20" s="17"/>
      <c r="N20" s="17"/>
      <c r="O20" s="17"/>
      <c r="P20" s="17"/>
      <c r="Q20" s="17"/>
      <c r="R20" s="17"/>
      <c r="S20" s="17"/>
      <c r="T20" s="18"/>
      <c r="V20" s="15" t="s">
        <v>18</v>
      </c>
      <c r="W20" s="16"/>
      <c r="X20" s="6"/>
      <c r="Y20" s="6"/>
      <c r="Z20" s="6"/>
      <c r="AA20" s="6"/>
      <c r="AB20" s="6"/>
      <c r="AC20" s="6"/>
      <c r="AD20" s="6"/>
      <c r="AE20" s="6"/>
      <c r="AF20" s="6"/>
      <c r="AG20" s="17"/>
      <c r="AH20" s="17"/>
      <c r="AI20" s="17"/>
      <c r="AJ20" s="17"/>
      <c r="AK20" s="17"/>
      <c r="AL20" s="17"/>
      <c r="AM20" s="17"/>
      <c r="AN20" s="17"/>
      <c r="AO20" s="18"/>
    </row>
    <row r="21" spans="1:41" ht="16.350000000000001" hidden="1" customHeight="1">
      <c r="A21" s="19"/>
      <c r="B21" s="7"/>
      <c r="C21" s="6"/>
      <c r="D21" s="6"/>
      <c r="E21" s="6"/>
      <c r="F21" s="6"/>
      <c r="G21" s="6"/>
      <c r="H21" s="6"/>
      <c r="I21" s="6"/>
      <c r="J21" s="6"/>
      <c r="K21" s="6"/>
      <c r="L21" s="31"/>
      <c r="M21" s="31"/>
      <c r="N21" s="31"/>
      <c r="O21" s="31"/>
      <c r="P21" s="31"/>
      <c r="Q21" s="31"/>
      <c r="R21" s="31"/>
      <c r="S21" s="31"/>
      <c r="T21" s="20"/>
      <c r="V21" s="19"/>
      <c r="W21" s="7"/>
      <c r="X21" s="6"/>
      <c r="Y21" s="6"/>
      <c r="Z21" s="6"/>
      <c r="AA21" s="6"/>
      <c r="AB21" s="6"/>
      <c r="AC21" s="6"/>
      <c r="AD21" s="6"/>
      <c r="AE21" s="6"/>
      <c r="AF21" s="6"/>
      <c r="AG21" s="31"/>
      <c r="AH21" s="31"/>
      <c r="AI21" s="31"/>
      <c r="AJ21" s="31"/>
      <c r="AK21" s="31"/>
      <c r="AL21" s="31"/>
      <c r="AM21" s="31"/>
      <c r="AN21" s="31"/>
      <c r="AO21" s="20"/>
    </row>
    <row r="22" spans="1:41" ht="16.350000000000001" hidden="1" customHeight="1">
      <c r="A22" s="19"/>
      <c r="B22" s="7"/>
      <c r="C22" s="6"/>
      <c r="D22" s="6"/>
      <c r="E22" s="6"/>
      <c r="F22" s="6"/>
      <c r="G22" s="6"/>
      <c r="H22" s="6"/>
      <c r="I22" s="6"/>
      <c r="J22" s="6"/>
      <c r="K22" s="6"/>
      <c r="L22" s="31"/>
      <c r="M22" s="31"/>
      <c r="N22" s="31"/>
      <c r="O22" s="31"/>
      <c r="P22" s="31"/>
      <c r="Q22" s="31"/>
      <c r="R22" s="31"/>
      <c r="S22" s="31"/>
      <c r="T22" s="20"/>
      <c r="V22" s="19"/>
      <c r="W22" s="7"/>
      <c r="X22" s="6"/>
      <c r="Y22" s="6"/>
      <c r="Z22" s="6"/>
      <c r="AA22" s="6"/>
      <c r="AB22" s="6"/>
      <c r="AC22" s="6"/>
      <c r="AD22" s="6"/>
      <c r="AE22" s="6"/>
      <c r="AF22" s="6"/>
      <c r="AG22" s="31"/>
      <c r="AH22" s="31"/>
      <c r="AI22" s="31"/>
      <c r="AJ22" s="31"/>
      <c r="AK22" s="31"/>
      <c r="AL22" s="31"/>
      <c r="AM22" s="31"/>
      <c r="AN22" s="31"/>
      <c r="AO22" s="20"/>
    </row>
    <row r="23" spans="1:41" ht="16.350000000000001" hidden="1" customHeight="1" thickBot="1">
      <c r="A23" s="19"/>
      <c r="B23" s="7"/>
      <c r="C23" s="6"/>
      <c r="D23" s="6"/>
      <c r="E23" s="6"/>
      <c r="F23" s="6"/>
      <c r="G23" s="6"/>
      <c r="H23" s="6"/>
      <c r="I23" s="6"/>
      <c r="J23" s="6"/>
      <c r="K23" s="6"/>
      <c r="L23" s="31"/>
      <c r="M23" s="31"/>
      <c r="N23" s="31"/>
      <c r="O23" s="31"/>
      <c r="P23" s="31"/>
      <c r="Q23" s="31"/>
      <c r="R23" s="31"/>
      <c r="S23" s="31"/>
      <c r="T23" s="20"/>
      <c r="V23" s="19"/>
      <c r="W23" s="7"/>
      <c r="X23" s="6"/>
      <c r="Y23" s="6"/>
      <c r="Z23" s="6"/>
      <c r="AA23" s="6"/>
      <c r="AB23" s="6"/>
      <c r="AC23" s="6"/>
      <c r="AD23" s="6"/>
      <c r="AE23" s="6"/>
      <c r="AF23" s="6"/>
      <c r="AG23" s="31"/>
      <c r="AH23" s="31"/>
      <c r="AI23" s="31"/>
      <c r="AJ23" s="31"/>
      <c r="AK23" s="31"/>
      <c r="AL23" s="31"/>
      <c r="AM23" s="31"/>
      <c r="AN23" s="31"/>
      <c r="AO23" s="20"/>
    </row>
    <row r="24" spans="1:41" ht="7.9" hidden="1" customHeight="1">
      <c r="A24" s="21" t="s">
        <v>12</v>
      </c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24"/>
      <c r="N24" s="24"/>
      <c r="O24" s="24"/>
      <c r="P24" s="24"/>
      <c r="Q24" s="24"/>
      <c r="R24" s="24"/>
      <c r="S24" s="24"/>
      <c r="T24" s="25"/>
      <c r="V24" s="21" t="s">
        <v>12</v>
      </c>
      <c r="W24" s="22"/>
      <c r="X24" s="23"/>
      <c r="Y24" s="23"/>
      <c r="Z24" s="23"/>
      <c r="AA24" s="23"/>
      <c r="AB24" s="23"/>
      <c r="AC24" s="23"/>
      <c r="AD24" s="23"/>
      <c r="AE24" s="23"/>
      <c r="AF24" s="23"/>
      <c r="AG24" s="24"/>
      <c r="AH24" s="24"/>
      <c r="AI24" s="24"/>
      <c r="AJ24" s="24"/>
      <c r="AK24" s="24"/>
      <c r="AL24" s="24"/>
      <c r="AM24" s="24"/>
      <c r="AN24" s="24"/>
      <c r="AO24" s="25"/>
    </row>
    <row r="25" spans="1:41" ht="7.9" hidden="1" customHeight="1"/>
    <row r="26" spans="1:41" ht="7.9" hidden="1" customHeight="1"/>
    <row r="27" spans="1:41" ht="7.9" hidden="1" customHeight="1"/>
    <row r="28" spans="1:41" s="3" customFormat="1" ht="11.25" customHeight="1" thickBo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V28" s="5"/>
      <c r="W28" s="5"/>
      <c r="X28" s="5"/>
      <c r="Y28" s="5"/>
      <c r="Z28" s="5"/>
      <c r="AA28" s="5"/>
      <c r="AB28" s="28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ht="16.149999999999999" customHeight="1">
      <c r="A29" s="98" t="s">
        <v>0</v>
      </c>
      <c r="B29" s="99"/>
      <c r="C29" s="93" t="s">
        <v>45</v>
      </c>
      <c r="D29" s="94"/>
      <c r="E29" s="94"/>
      <c r="F29" s="94"/>
      <c r="G29" s="94"/>
      <c r="H29" s="95"/>
      <c r="I29" s="29" t="s">
        <v>61</v>
      </c>
      <c r="J29" s="30"/>
      <c r="K29" s="30"/>
      <c r="L29" s="109" t="s">
        <v>14</v>
      </c>
      <c r="M29" s="110"/>
      <c r="N29" s="110"/>
      <c r="O29" s="110"/>
      <c r="P29" s="110"/>
      <c r="Q29" s="110"/>
      <c r="R29" s="110"/>
      <c r="S29" s="110"/>
      <c r="T29" s="111"/>
      <c r="V29" s="98" t="s">
        <v>0</v>
      </c>
      <c r="W29" s="99"/>
      <c r="X29" s="93" t="str">
        <f>C29</f>
        <v>BOOKING W 1</v>
      </c>
      <c r="Y29" s="94"/>
      <c r="Z29" s="94"/>
      <c r="AA29" s="94"/>
      <c r="AB29" s="94"/>
      <c r="AC29" s="95"/>
      <c r="AD29" s="72" t="str">
        <f>I29</f>
        <v>25-04/10/2026</v>
      </c>
      <c r="AE29" s="73"/>
      <c r="AF29" s="73"/>
      <c r="AG29" s="109" t="s">
        <v>14</v>
      </c>
      <c r="AH29" s="110"/>
      <c r="AI29" s="110"/>
      <c r="AJ29" s="110"/>
      <c r="AK29" s="110"/>
      <c r="AL29" s="110"/>
      <c r="AM29" s="110"/>
      <c r="AN29" s="110"/>
      <c r="AO29" s="111"/>
    </row>
    <row r="30" spans="1:41" ht="16.149999999999999" customHeight="1">
      <c r="A30" s="100"/>
      <c r="B30" s="101"/>
      <c r="C30" s="4" t="s">
        <v>1</v>
      </c>
      <c r="D30" s="4" t="s">
        <v>2</v>
      </c>
      <c r="E30" s="4" t="s">
        <v>3</v>
      </c>
      <c r="F30" s="4" t="s">
        <v>4</v>
      </c>
      <c r="G30" s="4" t="s">
        <v>5</v>
      </c>
      <c r="H30" s="4" t="s">
        <v>6</v>
      </c>
      <c r="I30" s="4" t="s">
        <v>7</v>
      </c>
      <c r="J30" s="4" t="s">
        <v>8</v>
      </c>
      <c r="K30" s="32" t="s">
        <v>9</v>
      </c>
      <c r="L30" s="53" t="s">
        <v>1</v>
      </c>
      <c r="M30" s="4" t="s">
        <v>2</v>
      </c>
      <c r="N30" s="4" t="s">
        <v>3</v>
      </c>
      <c r="O30" s="4" t="s">
        <v>4</v>
      </c>
      <c r="P30" s="4" t="s">
        <v>5</v>
      </c>
      <c r="Q30" s="4" t="s">
        <v>6</v>
      </c>
      <c r="R30" s="4" t="s">
        <v>7</v>
      </c>
      <c r="S30" s="4" t="s">
        <v>8</v>
      </c>
      <c r="T30" s="14" t="s">
        <v>9</v>
      </c>
      <c r="V30" s="100"/>
      <c r="W30" s="101"/>
      <c r="X30" s="4" t="s">
        <v>1</v>
      </c>
      <c r="Y30" s="4" t="s">
        <v>2</v>
      </c>
      <c r="Z30" s="4" t="s">
        <v>3</v>
      </c>
      <c r="AA30" s="4" t="s">
        <v>4</v>
      </c>
      <c r="AB30" s="4" t="s">
        <v>5</v>
      </c>
      <c r="AC30" s="4" t="s">
        <v>6</v>
      </c>
      <c r="AD30" s="4" t="s">
        <v>7</v>
      </c>
      <c r="AE30" s="4" t="s">
        <v>8</v>
      </c>
      <c r="AF30" s="32" t="s">
        <v>9</v>
      </c>
      <c r="AG30" s="53" t="s">
        <v>1</v>
      </c>
      <c r="AH30" s="4" t="s">
        <v>2</v>
      </c>
      <c r="AI30" s="4" t="s">
        <v>3</v>
      </c>
      <c r="AJ30" s="4" t="s">
        <v>4</v>
      </c>
      <c r="AK30" s="4" t="s">
        <v>5</v>
      </c>
      <c r="AL30" s="4" t="s">
        <v>6</v>
      </c>
      <c r="AM30" s="4" t="s">
        <v>7</v>
      </c>
      <c r="AN30" s="4" t="s">
        <v>8</v>
      </c>
      <c r="AO30" s="14" t="s">
        <v>9</v>
      </c>
    </row>
    <row r="31" spans="1:41" ht="16.149999999999999" customHeight="1">
      <c r="A31" s="6" t="s">
        <v>10</v>
      </c>
      <c r="B31" s="7" t="s">
        <v>21</v>
      </c>
      <c r="C31" s="56">
        <v>80</v>
      </c>
      <c r="D31" s="56"/>
      <c r="E31" s="56">
        <v>37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62">
        <f t="shared" ref="L31:T32" si="2">SUM(L4-C31)</f>
        <v>-38</v>
      </c>
      <c r="M31" s="63">
        <f t="shared" si="2"/>
        <v>0</v>
      </c>
      <c r="N31" s="63">
        <f t="shared" si="2"/>
        <v>25</v>
      </c>
      <c r="O31" s="63">
        <f t="shared" si="2"/>
        <v>0</v>
      </c>
      <c r="P31" s="63">
        <f t="shared" si="2"/>
        <v>0</v>
      </c>
      <c r="Q31" s="63">
        <f t="shared" si="2"/>
        <v>0</v>
      </c>
      <c r="R31" s="63">
        <f t="shared" si="2"/>
        <v>0</v>
      </c>
      <c r="S31" s="63">
        <f t="shared" si="2"/>
        <v>0</v>
      </c>
      <c r="T31" s="64">
        <f t="shared" si="2"/>
        <v>0</v>
      </c>
      <c r="V31" s="8" t="s">
        <v>28</v>
      </c>
      <c r="W31" s="7" t="s">
        <v>21</v>
      </c>
      <c r="X31" s="54"/>
      <c r="Y31" s="54"/>
      <c r="Z31" s="54"/>
      <c r="AA31" s="54"/>
      <c r="AB31" s="54"/>
      <c r="AC31" s="54"/>
      <c r="AD31" s="54"/>
      <c r="AE31" s="54"/>
      <c r="AF31" s="55"/>
      <c r="AG31" s="62">
        <f t="shared" ref="AG31:AO35" si="3">SUM(AG4-X31)</f>
        <v>0</v>
      </c>
      <c r="AH31" s="63">
        <f t="shared" si="3"/>
        <v>0</v>
      </c>
      <c r="AI31" s="63">
        <f t="shared" si="3"/>
        <v>0</v>
      </c>
      <c r="AJ31" s="63">
        <f t="shared" si="3"/>
        <v>0</v>
      </c>
      <c r="AK31" s="63">
        <f t="shared" si="3"/>
        <v>0</v>
      </c>
      <c r="AL31" s="63">
        <f t="shared" si="3"/>
        <v>0</v>
      </c>
      <c r="AM31" s="63">
        <f t="shared" si="3"/>
        <v>0</v>
      </c>
      <c r="AN31" s="63">
        <f t="shared" si="3"/>
        <v>0</v>
      </c>
      <c r="AO31" s="64">
        <f t="shared" si="3"/>
        <v>0</v>
      </c>
    </row>
    <row r="32" spans="1:41" ht="16.149999999999999" customHeight="1">
      <c r="A32" s="6" t="s">
        <v>11</v>
      </c>
      <c r="B32" s="7" t="s">
        <v>21</v>
      </c>
      <c r="C32" s="54">
        <v>9</v>
      </c>
      <c r="D32" s="54"/>
      <c r="E32" s="54">
        <v>1</v>
      </c>
      <c r="F32" s="54"/>
      <c r="G32" s="54">
        <v>0</v>
      </c>
      <c r="H32" s="54">
        <v>0</v>
      </c>
      <c r="I32" s="54">
        <v>0</v>
      </c>
      <c r="J32" s="54">
        <v>0</v>
      </c>
      <c r="K32" s="54">
        <v>0</v>
      </c>
      <c r="L32" s="62">
        <f t="shared" si="2"/>
        <v>29</v>
      </c>
      <c r="M32" s="63">
        <f t="shared" si="2"/>
        <v>0</v>
      </c>
      <c r="N32" s="63">
        <f t="shared" si="2"/>
        <v>105</v>
      </c>
      <c r="O32" s="63">
        <f t="shared" si="2"/>
        <v>0</v>
      </c>
      <c r="P32" s="63">
        <f t="shared" si="2"/>
        <v>0</v>
      </c>
      <c r="Q32" s="63">
        <f t="shared" si="2"/>
        <v>0</v>
      </c>
      <c r="R32" s="63">
        <f t="shared" si="2"/>
        <v>0</v>
      </c>
      <c r="S32" s="63">
        <f t="shared" si="2"/>
        <v>0</v>
      </c>
      <c r="T32" s="64">
        <f t="shared" si="2"/>
        <v>0</v>
      </c>
      <c r="V32" s="8" t="s">
        <v>53</v>
      </c>
      <c r="W32" s="7" t="s">
        <v>21</v>
      </c>
      <c r="X32" s="54"/>
      <c r="Y32" s="54"/>
      <c r="Z32" s="54"/>
      <c r="AA32" s="54"/>
      <c r="AB32" s="54"/>
      <c r="AC32" s="54"/>
      <c r="AD32" s="54"/>
      <c r="AE32" s="54"/>
      <c r="AF32" s="55"/>
      <c r="AG32" s="62">
        <f t="shared" si="3"/>
        <v>0</v>
      </c>
      <c r="AH32" s="63">
        <f t="shared" si="3"/>
        <v>0</v>
      </c>
      <c r="AI32" s="63">
        <f t="shared" si="3"/>
        <v>0</v>
      </c>
      <c r="AJ32" s="63">
        <f t="shared" si="3"/>
        <v>0</v>
      </c>
      <c r="AK32" s="63">
        <f t="shared" si="3"/>
        <v>0</v>
      </c>
      <c r="AL32" s="63">
        <f t="shared" si="3"/>
        <v>0</v>
      </c>
      <c r="AM32" s="63">
        <f t="shared" si="3"/>
        <v>0</v>
      </c>
      <c r="AN32" s="63">
        <f t="shared" si="3"/>
        <v>0</v>
      </c>
      <c r="AO32" s="64">
        <f t="shared" si="3"/>
        <v>0</v>
      </c>
    </row>
    <row r="33" spans="1:45" ht="16.149999999999999" customHeight="1">
      <c r="A33" s="86"/>
      <c r="B33" s="87"/>
      <c r="C33" s="54">
        <v>0</v>
      </c>
      <c r="D33" s="54">
        <v>0</v>
      </c>
      <c r="E33" s="54">
        <v>0</v>
      </c>
      <c r="F33" s="54">
        <v>0</v>
      </c>
      <c r="G33" s="54">
        <v>0</v>
      </c>
      <c r="H33" s="54">
        <v>0</v>
      </c>
      <c r="I33" s="54">
        <v>0</v>
      </c>
      <c r="J33" s="54">
        <v>0</v>
      </c>
      <c r="K33" s="55">
        <v>0</v>
      </c>
      <c r="L33" s="62"/>
      <c r="M33" s="63"/>
      <c r="N33" s="63">
        <f t="shared" ref="N33:T35" si="4">SUM(N6-E33)</f>
        <v>0</v>
      </c>
      <c r="O33" s="63">
        <f t="shared" si="4"/>
        <v>0</v>
      </c>
      <c r="P33" s="63">
        <f t="shared" si="4"/>
        <v>0</v>
      </c>
      <c r="Q33" s="63">
        <f t="shared" si="4"/>
        <v>0</v>
      </c>
      <c r="R33" s="63">
        <f t="shared" si="4"/>
        <v>0</v>
      </c>
      <c r="S33" s="63">
        <f t="shared" si="4"/>
        <v>0</v>
      </c>
      <c r="T33" s="64">
        <f t="shared" si="4"/>
        <v>0</v>
      </c>
      <c r="V33" s="8" t="s">
        <v>31</v>
      </c>
      <c r="W33" s="7" t="s">
        <v>21</v>
      </c>
      <c r="X33" s="54"/>
      <c r="Y33" s="54"/>
      <c r="Z33" s="54"/>
      <c r="AA33" s="54"/>
      <c r="AB33" s="54"/>
      <c r="AC33" s="54"/>
      <c r="AD33" s="54"/>
      <c r="AE33" s="54"/>
      <c r="AF33" s="55"/>
      <c r="AG33" s="62">
        <f t="shared" si="3"/>
        <v>0</v>
      </c>
      <c r="AH33" s="63">
        <f t="shared" si="3"/>
        <v>0</v>
      </c>
      <c r="AI33" s="63">
        <f t="shared" si="3"/>
        <v>0</v>
      </c>
      <c r="AJ33" s="63">
        <f t="shared" si="3"/>
        <v>0</v>
      </c>
      <c r="AK33" s="63">
        <f t="shared" si="3"/>
        <v>0</v>
      </c>
      <c r="AL33" s="63">
        <f t="shared" si="3"/>
        <v>0</v>
      </c>
      <c r="AM33" s="63">
        <f t="shared" si="3"/>
        <v>0</v>
      </c>
      <c r="AN33" s="63">
        <f t="shared" si="3"/>
        <v>0</v>
      </c>
      <c r="AO33" s="64">
        <f t="shared" si="3"/>
        <v>0</v>
      </c>
    </row>
    <row r="34" spans="1:45" ht="16.149999999999999" customHeight="1">
      <c r="A34" s="82" t="s">
        <v>52</v>
      </c>
      <c r="B34" s="7" t="s">
        <v>22</v>
      </c>
      <c r="C34" s="54">
        <v>109</v>
      </c>
      <c r="D34" s="54"/>
      <c r="E34" s="54">
        <v>72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54">
        <v>0</v>
      </c>
      <c r="L34" s="62">
        <f>SUM(L7-C34)</f>
        <v>137</v>
      </c>
      <c r="M34" s="63">
        <f>SUM(M7-D34)</f>
        <v>0</v>
      </c>
      <c r="N34" s="63">
        <f t="shared" si="4"/>
        <v>158</v>
      </c>
      <c r="O34" s="63">
        <f t="shared" si="4"/>
        <v>0</v>
      </c>
      <c r="P34" s="63">
        <f t="shared" si="4"/>
        <v>0</v>
      </c>
      <c r="Q34" s="63">
        <f t="shared" si="4"/>
        <v>0</v>
      </c>
      <c r="R34" s="63">
        <f t="shared" si="4"/>
        <v>0</v>
      </c>
      <c r="S34" s="63">
        <f t="shared" si="4"/>
        <v>0</v>
      </c>
      <c r="T34" s="64">
        <f t="shared" si="4"/>
        <v>0</v>
      </c>
      <c r="V34" s="8" t="s">
        <v>27</v>
      </c>
      <c r="W34" s="7" t="s">
        <v>21</v>
      </c>
      <c r="X34" s="54"/>
      <c r="Y34" s="54"/>
      <c r="Z34" s="54"/>
      <c r="AA34" s="54"/>
      <c r="AB34" s="54">
        <v>0</v>
      </c>
      <c r="AC34" s="54"/>
      <c r="AD34" s="54"/>
      <c r="AE34" s="54"/>
      <c r="AF34" s="55"/>
      <c r="AG34" s="62">
        <f t="shared" si="3"/>
        <v>0</v>
      </c>
      <c r="AH34" s="63">
        <f t="shared" si="3"/>
        <v>0</v>
      </c>
      <c r="AI34" s="63">
        <f t="shared" si="3"/>
        <v>0</v>
      </c>
      <c r="AJ34" s="63">
        <f t="shared" si="3"/>
        <v>0</v>
      </c>
      <c r="AK34" s="63">
        <f t="shared" si="3"/>
        <v>0</v>
      </c>
      <c r="AL34" s="63">
        <f t="shared" si="3"/>
        <v>0</v>
      </c>
      <c r="AM34" s="63">
        <f t="shared" si="3"/>
        <v>0</v>
      </c>
      <c r="AN34" s="63">
        <f t="shared" si="3"/>
        <v>0</v>
      </c>
      <c r="AO34" s="64">
        <f t="shared" si="3"/>
        <v>0</v>
      </c>
    </row>
    <row r="35" spans="1:45" ht="16.149999999999999" customHeight="1">
      <c r="A35" s="6" t="s">
        <v>26</v>
      </c>
      <c r="B35" s="7" t="s">
        <v>22</v>
      </c>
      <c r="C35" s="54">
        <v>258</v>
      </c>
      <c r="D35" s="54">
        <v>1</v>
      </c>
      <c r="E35" s="54">
        <v>187</v>
      </c>
      <c r="F35" s="54">
        <v>6</v>
      </c>
      <c r="G35" s="54">
        <v>45</v>
      </c>
      <c r="H35" s="54"/>
      <c r="I35" s="54"/>
      <c r="J35" s="54"/>
      <c r="K35" s="54"/>
      <c r="L35" s="62">
        <f>SUM(L8-C35)</f>
        <v>967</v>
      </c>
      <c r="M35" s="63">
        <f>SUM(M8-D35)</f>
        <v>1</v>
      </c>
      <c r="N35" s="63">
        <f t="shared" si="4"/>
        <v>606</v>
      </c>
      <c r="O35" s="63">
        <f t="shared" si="4"/>
        <v>25</v>
      </c>
      <c r="P35" s="63">
        <f t="shared" si="4"/>
        <v>25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4">
        <f t="shared" si="4"/>
        <v>2</v>
      </c>
      <c r="V35" s="8" t="s">
        <v>29</v>
      </c>
      <c r="W35" s="7" t="s">
        <v>21</v>
      </c>
      <c r="X35" s="54"/>
      <c r="Y35" s="54"/>
      <c r="Z35" s="54"/>
      <c r="AA35" s="54"/>
      <c r="AB35" s="54"/>
      <c r="AC35" s="54"/>
      <c r="AD35" s="54"/>
      <c r="AE35" s="54"/>
      <c r="AF35" s="55"/>
      <c r="AG35" s="62">
        <f t="shared" si="3"/>
        <v>0</v>
      </c>
      <c r="AH35" s="63">
        <f t="shared" si="3"/>
        <v>0</v>
      </c>
      <c r="AI35" s="63">
        <f t="shared" si="3"/>
        <v>0</v>
      </c>
      <c r="AJ35" s="63">
        <f t="shared" si="3"/>
        <v>0</v>
      </c>
      <c r="AK35" s="63">
        <f t="shared" si="3"/>
        <v>0</v>
      </c>
      <c r="AL35" s="63">
        <f t="shared" si="3"/>
        <v>0</v>
      </c>
      <c r="AM35" s="63">
        <f t="shared" si="3"/>
        <v>0</v>
      </c>
      <c r="AN35" s="63">
        <f t="shared" si="3"/>
        <v>0</v>
      </c>
      <c r="AO35" s="64">
        <f t="shared" si="3"/>
        <v>0</v>
      </c>
    </row>
    <row r="36" spans="1:45" ht="16.149999999999999" customHeight="1">
      <c r="A36" s="6" t="s">
        <v>24</v>
      </c>
      <c r="B36" s="7" t="s">
        <v>23</v>
      </c>
      <c r="C36" s="54"/>
      <c r="D36" s="54"/>
      <c r="E36" s="54"/>
      <c r="F36" s="54"/>
      <c r="G36" s="54"/>
      <c r="H36" s="54"/>
      <c r="I36" s="54"/>
      <c r="J36" s="54"/>
      <c r="K36" s="55"/>
      <c r="L36" s="62">
        <f t="shared" ref="L36:T36" si="5">SUM(L9-C36)</f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4">
        <f t="shared" si="5"/>
        <v>0</v>
      </c>
      <c r="V36" s="8" t="s">
        <v>25</v>
      </c>
      <c r="W36" s="7" t="s">
        <v>22</v>
      </c>
      <c r="X36" s="54">
        <v>218</v>
      </c>
      <c r="Y36" s="54"/>
      <c r="Z36" s="54">
        <v>297</v>
      </c>
      <c r="AA36" s="54">
        <v>2</v>
      </c>
      <c r="AB36" s="54">
        <v>56</v>
      </c>
      <c r="AC36" s="54"/>
      <c r="AD36" s="54"/>
      <c r="AE36" s="54"/>
      <c r="AF36" s="54"/>
      <c r="AG36" s="62">
        <f t="shared" ref="AG36:AO36" si="6">SUM(AG9-X36)</f>
        <v>941</v>
      </c>
      <c r="AH36" s="63">
        <f t="shared" si="6"/>
        <v>0</v>
      </c>
      <c r="AI36" s="63">
        <f t="shared" si="6"/>
        <v>546</v>
      </c>
      <c r="AJ36" s="63">
        <f t="shared" si="6"/>
        <v>8</v>
      </c>
      <c r="AK36" s="63">
        <f t="shared" si="6"/>
        <v>14</v>
      </c>
      <c r="AL36" s="63">
        <f t="shared" si="6"/>
        <v>0</v>
      </c>
      <c r="AM36" s="63">
        <f t="shared" si="6"/>
        <v>5</v>
      </c>
      <c r="AN36" s="63">
        <f t="shared" si="6"/>
        <v>2</v>
      </c>
      <c r="AO36" s="64">
        <f t="shared" si="6"/>
        <v>7</v>
      </c>
    </row>
    <row r="37" spans="1:45" ht="16.149999999999999" customHeight="1">
      <c r="A37" s="88"/>
      <c r="B37" s="87"/>
      <c r="C37" s="54">
        <v>0</v>
      </c>
      <c r="D37" s="54">
        <v>0</v>
      </c>
      <c r="E37" s="54">
        <v>0</v>
      </c>
      <c r="F37" s="54">
        <v>0</v>
      </c>
      <c r="G37" s="54">
        <v>0</v>
      </c>
      <c r="H37" s="54">
        <v>0</v>
      </c>
      <c r="I37" s="54">
        <v>0</v>
      </c>
      <c r="J37" s="54">
        <v>0</v>
      </c>
      <c r="K37" s="54">
        <v>0</v>
      </c>
      <c r="L37" s="62">
        <f t="shared" ref="L37:L38" si="7">SUM(L10-C37)</f>
        <v>0</v>
      </c>
      <c r="M37" s="63">
        <f t="shared" ref="M37:T38" si="8">SUM(M10-D37)</f>
        <v>0</v>
      </c>
      <c r="N37" s="63">
        <f t="shared" si="8"/>
        <v>0</v>
      </c>
      <c r="O37" s="63">
        <f t="shared" si="8"/>
        <v>0</v>
      </c>
      <c r="P37" s="63">
        <f t="shared" si="8"/>
        <v>0</v>
      </c>
      <c r="Q37" s="63">
        <f t="shared" si="8"/>
        <v>0</v>
      </c>
      <c r="R37" s="63">
        <f t="shared" si="8"/>
        <v>0</v>
      </c>
      <c r="S37" s="63">
        <f t="shared" si="8"/>
        <v>0</v>
      </c>
      <c r="T37" s="64">
        <f t="shared" si="8"/>
        <v>0</v>
      </c>
      <c r="V37" s="8" t="s">
        <v>54</v>
      </c>
      <c r="W37" s="7" t="s">
        <v>22</v>
      </c>
      <c r="X37" s="54">
        <v>74</v>
      </c>
      <c r="Y37" s="54"/>
      <c r="Z37" s="54">
        <v>53</v>
      </c>
      <c r="AA37" s="54"/>
      <c r="AB37" s="54"/>
      <c r="AC37" s="54"/>
      <c r="AD37" s="54">
        <v>0</v>
      </c>
      <c r="AE37" s="54"/>
      <c r="AF37" s="54"/>
      <c r="AG37" s="62">
        <f>SUM(AG10-X37)</f>
        <v>120</v>
      </c>
      <c r="AH37" s="63">
        <f t="shared" ref="AG37:AO40" si="9">SUM(AH10-Y37)</f>
        <v>0</v>
      </c>
      <c r="AI37" s="63">
        <f>SUM(AI10-Z37)</f>
        <v>181</v>
      </c>
      <c r="AJ37" s="63">
        <f t="shared" si="9"/>
        <v>0</v>
      </c>
      <c r="AK37" s="63">
        <f t="shared" si="9"/>
        <v>0</v>
      </c>
      <c r="AL37" s="63">
        <f t="shared" si="9"/>
        <v>0</v>
      </c>
      <c r="AM37" s="63">
        <f t="shared" si="9"/>
        <v>0</v>
      </c>
      <c r="AN37" s="63">
        <f t="shared" si="9"/>
        <v>0</v>
      </c>
      <c r="AO37" s="64">
        <f t="shared" si="9"/>
        <v>0</v>
      </c>
    </row>
    <row r="38" spans="1:45" ht="16.149999999999999" customHeight="1">
      <c r="A38" s="6" t="s">
        <v>27</v>
      </c>
      <c r="B38" s="7" t="s">
        <v>23</v>
      </c>
      <c r="C38" s="6"/>
      <c r="D38" s="6"/>
      <c r="E38" s="6"/>
      <c r="F38" s="6"/>
      <c r="G38" s="6"/>
      <c r="H38" s="6"/>
      <c r="I38" s="6"/>
      <c r="J38" s="6"/>
      <c r="K38" s="33"/>
      <c r="L38" s="62">
        <f t="shared" si="7"/>
        <v>22</v>
      </c>
      <c r="M38" s="63">
        <f t="shared" si="8"/>
        <v>0</v>
      </c>
      <c r="N38" s="63">
        <f t="shared" si="8"/>
        <v>9</v>
      </c>
      <c r="O38" s="63">
        <f t="shared" si="8"/>
        <v>0</v>
      </c>
      <c r="P38" s="63">
        <f t="shared" si="8"/>
        <v>0</v>
      </c>
      <c r="Q38" s="63">
        <f t="shared" si="8"/>
        <v>0</v>
      </c>
      <c r="R38" s="63">
        <f t="shared" si="8"/>
        <v>0</v>
      </c>
      <c r="S38" s="63">
        <f t="shared" si="8"/>
        <v>0</v>
      </c>
      <c r="T38" s="64">
        <f t="shared" si="8"/>
        <v>0</v>
      </c>
      <c r="V38" s="8" t="s">
        <v>33</v>
      </c>
      <c r="W38" s="7" t="s">
        <v>22</v>
      </c>
      <c r="X38" s="54">
        <v>203</v>
      </c>
      <c r="Y38" s="54"/>
      <c r="Z38" s="54">
        <v>25</v>
      </c>
      <c r="AA38" s="54"/>
      <c r="AB38" s="54"/>
      <c r="AC38" s="54"/>
      <c r="AD38" s="54"/>
      <c r="AE38" s="54"/>
      <c r="AF38" s="54"/>
      <c r="AG38" s="62">
        <f>SUM(AG11-X38)</f>
        <v>239</v>
      </c>
      <c r="AH38" s="63">
        <f t="shared" si="9"/>
        <v>0</v>
      </c>
      <c r="AI38" s="63">
        <f t="shared" si="9"/>
        <v>217</v>
      </c>
      <c r="AJ38" s="63">
        <f t="shared" si="9"/>
        <v>0</v>
      </c>
      <c r="AK38" s="63">
        <f t="shared" si="9"/>
        <v>0</v>
      </c>
      <c r="AL38" s="63">
        <f t="shared" si="9"/>
        <v>0</v>
      </c>
      <c r="AM38" s="63">
        <f t="shared" si="9"/>
        <v>0</v>
      </c>
      <c r="AN38" s="63">
        <f t="shared" si="9"/>
        <v>0</v>
      </c>
      <c r="AO38" s="64">
        <f t="shared" si="9"/>
        <v>0</v>
      </c>
    </row>
    <row r="39" spans="1:45" ht="16.149999999999999" customHeight="1">
      <c r="A39" s="6"/>
      <c r="B39" s="7"/>
      <c r="C39" s="6"/>
      <c r="D39" s="6"/>
      <c r="E39" s="6"/>
      <c r="F39" s="6"/>
      <c r="G39" s="6"/>
      <c r="H39" s="6"/>
      <c r="I39" s="6"/>
      <c r="J39" s="6"/>
      <c r="K39" s="33"/>
      <c r="L39" s="35"/>
      <c r="M39" s="31"/>
      <c r="N39" s="31"/>
      <c r="O39" s="31"/>
      <c r="P39" s="31"/>
      <c r="Q39" s="31"/>
      <c r="R39" s="31"/>
      <c r="S39" s="31"/>
      <c r="T39" s="20"/>
      <c r="V39" s="8" t="s">
        <v>20</v>
      </c>
      <c r="W39" s="7" t="s">
        <v>23</v>
      </c>
      <c r="X39" s="54"/>
      <c r="Y39" s="54"/>
      <c r="Z39" s="54"/>
      <c r="AA39" s="54"/>
      <c r="AB39" s="54"/>
      <c r="AC39" s="54"/>
      <c r="AD39" s="54"/>
      <c r="AE39" s="54"/>
      <c r="AF39" s="55"/>
      <c r="AG39" s="62">
        <f t="shared" si="9"/>
        <v>0</v>
      </c>
      <c r="AH39" s="63">
        <f t="shared" si="9"/>
        <v>0</v>
      </c>
      <c r="AI39" s="63">
        <f>SUM(AI12-Z39)</f>
        <v>0</v>
      </c>
      <c r="AJ39" s="63">
        <f t="shared" si="9"/>
        <v>0</v>
      </c>
      <c r="AK39" s="63">
        <f t="shared" si="9"/>
        <v>0</v>
      </c>
      <c r="AL39" s="63">
        <f t="shared" si="9"/>
        <v>0</v>
      </c>
      <c r="AM39" s="63">
        <f t="shared" si="9"/>
        <v>0</v>
      </c>
      <c r="AN39" s="63">
        <f t="shared" si="9"/>
        <v>0</v>
      </c>
      <c r="AO39" s="64">
        <f t="shared" si="9"/>
        <v>0</v>
      </c>
      <c r="AS39" s="5" t="s">
        <v>32</v>
      </c>
    </row>
    <row r="40" spans="1:45" ht="16.5" customHeight="1">
      <c r="A40" s="9" t="s">
        <v>18</v>
      </c>
      <c r="B40" s="9"/>
      <c r="C40" s="9"/>
      <c r="D40" s="9"/>
      <c r="E40" s="9"/>
      <c r="F40" s="9"/>
      <c r="G40" s="9"/>
      <c r="H40" s="9"/>
      <c r="I40" s="9"/>
      <c r="J40" s="9"/>
      <c r="K40" s="39"/>
      <c r="L40" s="36">
        <f t="shared" ref="L40:T40" si="10">SUM(L13-C40)</f>
        <v>0</v>
      </c>
      <c r="M40" s="10">
        <f t="shared" si="10"/>
        <v>0</v>
      </c>
      <c r="N40" s="10">
        <f t="shared" si="10"/>
        <v>0</v>
      </c>
      <c r="O40" s="10">
        <f t="shared" si="10"/>
        <v>0</v>
      </c>
      <c r="P40" s="10">
        <f t="shared" si="10"/>
        <v>0</v>
      </c>
      <c r="Q40" s="10">
        <f t="shared" si="10"/>
        <v>0</v>
      </c>
      <c r="R40" s="10">
        <f t="shared" si="10"/>
        <v>0</v>
      </c>
      <c r="S40" s="10">
        <f>SUM(S13-J40)</f>
        <v>0</v>
      </c>
      <c r="T40" s="37">
        <f t="shared" si="10"/>
        <v>0</v>
      </c>
      <c r="V40" s="9" t="s">
        <v>18</v>
      </c>
      <c r="W40" s="9"/>
      <c r="X40" s="9"/>
      <c r="Y40" s="9"/>
      <c r="Z40" s="9"/>
      <c r="AA40" s="9"/>
      <c r="AB40" s="9"/>
      <c r="AC40" s="9"/>
      <c r="AD40" s="9"/>
      <c r="AE40" s="9"/>
      <c r="AF40" s="39"/>
      <c r="AG40" s="36">
        <f t="shared" si="9"/>
        <v>0</v>
      </c>
      <c r="AH40" s="10">
        <f t="shared" si="9"/>
        <v>0</v>
      </c>
      <c r="AI40" s="10">
        <f t="shared" si="9"/>
        <v>0</v>
      </c>
      <c r="AJ40" s="10">
        <f t="shared" si="9"/>
        <v>0</v>
      </c>
      <c r="AK40" s="10">
        <f t="shared" si="9"/>
        <v>0</v>
      </c>
      <c r="AL40" s="10">
        <f t="shared" si="9"/>
        <v>0</v>
      </c>
      <c r="AM40" s="10">
        <f t="shared" si="9"/>
        <v>0</v>
      </c>
      <c r="AN40" s="10">
        <f t="shared" si="9"/>
        <v>0</v>
      </c>
      <c r="AO40" s="37">
        <f t="shared" si="9"/>
        <v>0</v>
      </c>
    </row>
    <row r="41" spans="1:45" s="3" customFormat="1" ht="16.149999999999999" customHeight="1" thickBot="1">
      <c r="A41" s="96" t="s">
        <v>12</v>
      </c>
      <c r="B41" s="97"/>
      <c r="C41" s="54">
        <f>SUM(C31:C40)</f>
        <v>456</v>
      </c>
      <c r="D41" s="54">
        <f t="shared" ref="D41:K41" si="11">SUM(D31:D40)</f>
        <v>1</v>
      </c>
      <c r="E41" s="54">
        <f t="shared" si="11"/>
        <v>297</v>
      </c>
      <c r="F41" s="54">
        <f t="shared" si="11"/>
        <v>6</v>
      </c>
      <c r="G41" s="54">
        <f t="shared" si="11"/>
        <v>45</v>
      </c>
      <c r="H41" s="54">
        <f t="shared" si="11"/>
        <v>0</v>
      </c>
      <c r="I41" s="54">
        <f t="shared" si="11"/>
        <v>0</v>
      </c>
      <c r="J41" s="54">
        <f t="shared" si="11"/>
        <v>0</v>
      </c>
      <c r="K41" s="54">
        <f t="shared" si="11"/>
        <v>0</v>
      </c>
      <c r="L41" s="38">
        <f>SUM(L31:L40)</f>
        <v>1117</v>
      </c>
      <c r="M41" s="24">
        <f>SUM(M31:M40)</f>
        <v>1</v>
      </c>
      <c r="N41" s="75">
        <f>SUM(N31:N40)</f>
        <v>903</v>
      </c>
      <c r="O41" s="24">
        <f t="shared" ref="O41:S41" si="12">SUM(O31:O40)</f>
        <v>25</v>
      </c>
      <c r="P41" s="24">
        <f t="shared" si="12"/>
        <v>25</v>
      </c>
      <c r="Q41" s="24">
        <f t="shared" si="12"/>
        <v>0</v>
      </c>
      <c r="R41" s="24">
        <f t="shared" si="12"/>
        <v>0</v>
      </c>
      <c r="S41" s="24">
        <f t="shared" si="12"/>
        <v>0</v>
      </c>
      <c r="T41" s="25">
        <f>SUM(T31:T40)</f>
        <v>2</v>
      </c>
      <c r="V41" s="96" t="s">
        <v>13</v>
      </c>
      <c r="W41" s="97"/>
      <c r="X41" s="6">
        <f t="shared" ref="X41:AF41" si="13">SUM(X31:X40)</f>
        <v>495</v>
      </c>
      <c r="Y41" s="6">
        <f t="shared" si="13"/>
        <v>0</v>
      </c>
      <c r="Z41" s="6">
        <f t="shared" si="13"/>
        <v>375</v>
      </c>
      <c r="AA41" s="6">
        <f t="shared" si="13"/>
        <v>2</v>
      </c>
      <c r="AB41" s="6">
        <f t="shared" si="13"/>
        <v>56</v>
      </c>
      <c r="AC41" s="6">
        <f t="shared" si="13"/>
        <v>0</v>
      </c>
      <c r="AD41" s="6">
        <f t="shared" si="13"/>
        <v>0</v>
      </c>
      <c r="AE41" s="6">
        <f t="shared" si="13"/>
        <v>0</v>
      </c>
      <c r="AF41" s="33">
        <f t="shared" si="13"/>
        <v>0</v>
      </c>
      <c r="AG41" s="38">
        <f t="shared" ref="AG41:AN41" si="14">SUM(AG31:AG40)</f>
        <v>1300</v>
      </c>
      <c r="AH41" s="24">
        <f t="shared" si="14"/>
        <v>0</v>
      </c>
      <c r="AI41" s="24">
        <f t="shared" si="14"/>
        <v>944</v>
      </c>
      <c r="AJ41" s="24">
        <f t="shared" si="14"/>
        <v>8</v>
      </c>
      <c r="AK41" s="24">
        <f t="shared" si="14"/>
        <v>14</v>
      </c>
      <c r="AL41" s="24">
        <f t="shared" si="14"/>
        <v>0</v>
      </c>
      <c r="AM41" s="24">
        <f t="shared" si="14"/>
        <v>5</v>
      </c>
      <c r="AN41" s="24">
        <f t="shared" si="14"/>
        <v>2</v>
      </c>
      <c r="AO41" s="25">
        <f>SUM(AO31:AO40)</f>
        <v>7</v>
      </c>
    </row>
    <row r="42" spans="1:45" ht="16.149999999999999" customHeight="1" thickBot="1"/>
    <row r="43" spans="1:45" ht="16.149999999999999" customHeight="1">
      <c r="A43" s="98" t="s">
        <v>0</v>
      </c>
      <c r="B43" s="99"/>
      <c r="C43" s="93" t="s">
        <v>46</v>
      </c>
      <c r="D43" s="94"/>
      <c r="E43" s="94"/>
      <c r="F43" s="94"/>
      <c r="G43" s="94"/>
      <c r="H43" s="95"/>
      <c r="I43" s="91" t="s">
        <v>62</v>
      </c>
      <c r="J43" s="92"/>
      <c r="K43" s="92"/>
      <c r="L43" s="109" t="s">
        <v>14</v>
      </c>
      <c r="M43" s="110"/>
      <c r="N43" s="110"/>
      <c r="O43" s="110"/>
      <c r="P43" s="110"/>
      <c r="Q43" s="110"/>
      <c r="R43" s="110"/>
      <c r="S43" s="110"/>
      <c r="T43" s="111"/>
      <c r="V43" s="98" t="s">
        <v>0</v>
      </c>
      <c r="W43" s="99"/>
      <c r="X43" s="93" t="str">
        <f>C43</f>
        <v>BOOKING W 2</v>
      </c>
      <c r="Y43" s="94"/>
      <c r="Z43" s="94"/>
      <c r="AA43" s="94"/>
      <c r="AB43" s="94"/>
      <c r="AC43" s="95"/>
      <c r="AD43" s="91" t="str">
        <f>I43</f>
        <v>05-11/10/2026</v>
      </c>
      <c r="AE43" s="92"/>
      <c r="AF43" s="92"/>
      <c r="AG43" s="109" t="s">
        <v>14</v>
      </c>
      <c r="AH43" s="110"/>
      <c r="AI43" s="110"/>
      <c r="AJ43" s="110"/>
      <c r="AK43" s="110"/>
      <c r="AL43" s="110"/>
      <c r="AM43" s="110"/>
      <c r="AN43" s="110"/>
      <c r="AO43" s="111"/>
    </row>
    <row r="44" spans="1:45" ht="16.149999999999999" customHeight="1">
      <c r="A44" s="100"/>
      <c r="B44" s="101"/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6</v>
      </c>
      <c r="I44" s="4" t="s">
        <v>7</v>
      </c>
      <c r="J44" s="4" t="s">
        <v>8</v>
      </c>
      <c r="K44" s="32" t="s">
        <v>9</v>
      </c>
      <c r="L44" s="53" t="s">
        <v>1</v>
      </c>
      <c r="M44" s="4" t="s">
        <v>2</v>
      </c>
      <c r="N44" s="4" t="s">
        <v>3</v>
      </c>
      <c r="O44" s="4" t="s">
        <v>4</v>
      </c>
      <c r="P44" s="4" t="s">
        <v>5</v>
      </c>
      <c r="Q44" s="4" t="s">
        <v>6</v>
      </c>
      <c r="R44" s="4" t="s">
        <v>7</v>
      </c>
      <c r="S44" s="4" t="s">
        <v>8</v>
      </c>
      <c r="T44" s="14" t="s">
        <v>9</v>
      </c>
      <c r="V44" s="100"/>
      <c r="W44" s="101"/>
      <c r="X44" s="4" t="s">
        <v>1</v>
      </c>
      <c r="Y44" s="4" t="s">
        <v>2</v>
      </c>
      <c r="Z44" s="4" t="s">
        <v>3</v>
      </c>
      <c r="AA44" s="4" t="s">
        <v>4</v>
      </c>
      <c r="AB44" s="4" t="s">
        <v>5</v>
      </c>
      <c r="AC44" s="4" t="s">
        <v>6</v>
      </c>
      <c r="AD44" s="4" t="s">
        <v>7</v>
      </c>
      <c r="AE44" s="4" t="s">
        <v>8</v>
      </c>
      <c r="AF44" s="32" t="s">
        <v>9</v>
      </c>
      <c r="AG44" s="53" t="s">
        <v>1</v>
      </c>
      <c r="AH44" s="4" t="s">
        <v>2</v>
      </c>
      <c r="AI44" s="4" t="s">
        <v>3</v>
      </c>
      <c r="AJ44" s="4" t="s">
        <v>4</v>
      </c>
      <c r="AK44" s="4" t="s">
        <v>5</v>
      </c>
      <c r="AL44" s="4" t="s">
        <v>6</v>
      </c>
      <c r="AM44" s="4" t="s">
        <v>7</v>
      </c>
      <c r="AN44" s="4" t="s">
        <v>8</v>
      </c>
      <c r="AO44" s="14" t="s">
        <v>9</v>
      </c>
    </row>
    <row r="45" spans="1:45" ht="16.149999999999999" customHeight="1">
      <c r="A45" s="6" t="s">
        <v>10</v>
      </c>
      <c r="B45" s="7" t="s">
        <v>21</v>
      </c>
      <c r="C45" s="54">
        <v>22</v>
      </c>
      <c r="D45" s="54"/>
      <c r="E45" s="54">
        <v>23</v>
      </c>
      <c r="F45" s="54">
        <v>0</v>
      </c>
      <c r="G45" s="54">
        <v>0</v>
      </c>
      <c r="H45" s="54">
        <v>0</v>
      </c>
      <c r="I45" s="54">
        <v>0</v>
      </c>
      <c r="J45" s="54">
        <v>0</v>
      </c>
      <c r="K45" s="54">
        <v>0</v>
      </c>
      <c r="L45" s="62">
        <f>SUM(L31-C45)</f>
        <v>-60</v>
      </c>
      <c r="M45" s="63">
        <f t="shared" ref="L45:T52" si="15">SUM(M31-D45)</f>
        <v>0</v>
      </c>
      <c r="N45" s="63">
        <f t="shared" si="15"/>
        <v>2</v>
      </c>
      <c r="O45" s="63">
        <f t="shared" si="15"/>
        <v>0</v>
      </c>
      <c r="P45" s="63">
        <f t="shared" si="15"/>
        <v>0</v>
      </c>
      <c r="Q45" s="63">
        <f t="shared" si="15"/>
        <v>0</v>
      </c>
      <c r="R45" s="63">
        <f t="shared" si="15"/>
        <v>0</v>
      </c>
      <c r="S45" s="63">
        <f t="shared" si="15"/>
        <v>0</v>
      </c>
      <c r="T45" s="64">
        <f t="shared" si="15"/>
        <v>0</v>
      </c>
      <c r="V45" s="8" t="s">
        <v>28</v>
      </c>
      <c r="W45" s="7" t="s">
        <v>21</v>
      </c>
      <c r="X45" s="54"/>
      <c r="Y45" s="54"/>
      <c r="Z45" s="54"/>
      <c r="AA45" s="54"/>
      <c r="AB45" s="54"/>
      <c r="AC45" s="54"/>
      <c r="AD45" s="54"/>
      <c r="AE45" s="54"/>
      <c r="AF45" s="55"/>
      <c r="AG45" s="62">
        <f t="shared" ref="AG45:AO54" si="16">SUM(AG31-X45)</f>
        <v>0</v>
      </c>
      <c r="AH45" s="63">
        <f t="shared" si="16"/>
        <v>0</v>
      </c>
      <c r="AI45" s="63">
        <f t="shared" si="16"/>
        <v>0</v>
      </c>
      <c r="AJ45" s="63">
        <f t="shared" si="16"/>
        <v>0</v>
      </c>
      <c r="AK45" s="63">
        <f t="shared" si="16"/>
        <v>0</v>
      </c>
      <c r="AL45" s="63">
        <f t="shared" si="16"/>
        <v>0</v>
      </c>
      <c r="AM45" s="63">
        <f t="shared" si="16"/>
        <v>0</v>
      </c>
      <c r="AN45" s="63">
        <f t="shared" si="16"/>
        <v>0</v>
      </c>
      <c r="AO45" s="64">
        <f t="shared" si="16"/>
        <v>0</v>
      </c>
    </row>
    <row r="46" spans="1:45" ht="16.149999999999999" customHeight="1">
      <c r="A46" s="6" t="s">
        <v>11</v>
      </c>
      <c r="B46" s="7" t="s">
        <v>21</v>
      </c>
      <c r="C46" s="54">
        <v>8</v>
      </c>
      <c r="D46" s="54"/>
      <c r="E46" s="54">
        <v>10</v>
      </c>
      <c r="F46" s="54"/>
      <c r="G46" s="54"/>
      <c r="H46" s="54">
        <v>0</v>
      </c>
      <c r="I46" s="54">
        <v>0</v>
      </c>
      <c r="J46" s="54">
        <v>0</v>
      </c>
      <c r="K46" s="54">
        <v>0</v>
      </c>
      <c r="L46" s="62">
        <f t="shared" si="15"/>
        <v>21</v>
      </c>
      <c r="M46" s="63">
        <f t="shared" si="15"/>
        <v>0</v>
      </c>
      <c r="N46" s="63">
        <f t="shared" si="15"/>
        <v>95</v>
      </c>
      <c r="O46" s="63">
        <f t="shared" si="15"/>
        <v>0</v>
      </c>
      <c r="P46" s="63">
        <f t="shared" si="15"/>
        <v>0</v>
      </c>
      <c r="Q46" s="63">
        <f t="shared" si="15"/>
        <v>0</v>
      </c>
      <c r="R46" s="63">
        <f t="shared" si="15"/>
        <v>0</v>
      </c>
      <c r="S46" s="63">
        <f t="shared" si="15"/>
        <v>0</v>
      </c>
      <c r="T46" s="64">
        <f t="shared" si="15"/>
        <v>0</v>
      </c>
      <c r="V46" s="8" t="s">
        <v>53</v>
      </c>
      <c r="W46" s="7" t="s">
        <v>21</v>
      </c>
      <c r="X46" s="54"/>
      <c r="Y46" s="54"/>
      <c r="Z46" s="54"/>
      <c r="AA46" s="54"/>
      <c r="AB46" s="54"/>
      <c r="AC46" s="54"/>
      <c r="AD46" s="54"/>
      <c r="AE46" s="54"/>
      <c r="AF46" s="55"/>
      <c r="AG46" s="62">
        <f t="shared" si="16"/>
        <v>0</v>
      </c>
      <c r="AH46" s="63">
        <f t="shared" si="16"/>
        <v>0</v>
      </c>
      <c r="AI46" s="63">
        <f t="shared" si="16"/>
        <v>0</v>
      </c>
      <c r="AJ46" s="63">
        <f t="shared" si="16"/>
        <v>0</v>
      </c>
      <c r="AK46" s="63">
        <f t="shared" si="16"/>
        <v>0</v>
      </c>
      <c r="AL46" s="63">
        <f t="shared" si="16"/>
        <v>0</v>
      </c>
      <c r="AM46" s="63">
        <f t="shared" si="16"/>
        <v>0</v>
      </c>
      <c r="AN46" s="63">
        <f t="shared" si="16"/>
        <v>0</v>
      </c>
      <c r="AO46" s="64">
        <f>SUM(AO32-AF46)</f>
        <v>0</v>
      </c>
    </row>
    <row r="47" spans="1:45" ht="16.149999999999999" customHeight="1">
      <c r="A47" s="86"/>
      <c r="B47" s="87"/>
      <c r="C47" s="54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5">
        <v>0</v>
      </c>
      <c r="L47" s="62"/>
      <c r="M47" s="63"/>
      <c r="N47" s="63"/>
      <c r="O47" s="63"/>
      <c r="P47" s="63"/>
      <c r="Q47" s="63">
        <f t="shared" si="15"/>
        <v>0</v>
      </c>
      <c r="R47" s="63">
        <f t="shared" si="15"/>
        <v>0</v>
      </c>
      <c r="S47" s="63">
        <f t="shared" si="15"/>
        <v>0</v>
      </c>
      <c r="T47" s="64">
        <f t="shared" si="15"/>
        <v>0</v>
      </c>
      <c r="V47" s="8" t="s">
        <v>31</v>
      </c>
      <c r="W47" s="7" t="s">
        <v>21</v>
      </c>
      <c r="X47" s="54"/>
      <c r="Y47" s="54"/>
      <c r="Z47" s="54"/>
      <c r="AA47" s="54"/>
      <c r="AB47" s="54"/>
      <c r="AC47" s="54"/>
      <c r="AD47" s="54"/>
      <c r="AE47" s="54"/>
      <c r="AF47" s="55"/>
      <c r="AG47" s="62">
        <f t="shared" si="16"/>
        <v>0</v>
      </c>
      <c r="AH47" s="63">
        <f t="shared" si="16"/>
        <v>0</v>
      </c>
      <c r="AI47" s="63">
        <f t="shared" si="16"/>
        <v>0</v>
      </c>
      <c r="AJ47" s="63">
        <f t="shared" si="16"/>
        <v>0</v>
      </c>
      <c r="AK47" s="63">
        <f t="shared" si="16"/>
        <v>0</v>
      </c>
      <c r="AL47" s="63">
        <f t="shared" si="16"/>
        <v>0</v>
      </c>
      <c r="AM47" s="63">
        <f t="shared" si="16"/>
        <v>0</v>
      </c>
      <c r="AN47" s="63">
        <f t="shared" si="16"/>
        <v>0</v>
      </c>
      <c r="AO47" s="64">
        <f>SUM(AO33-AF47)</f>
        <v>0</v>
      </c>
    </row>
    <row r="48" spans="1:45" ht="16.149999999999999" customHeight="1">
      <c r="A48" s="82" t="s">
        <v>52</v>
      </c>
      <c r="B48" s="7" t="s">
        <v>22</v>
      </c>
      <c r="C48" s="54">
        <v>70</v>
      </c>
      <c r="D48" s="54"/>
      <c r="E48" s="54">
        <v>41</v>
      </c>
      <c r="F48" s="54"/>
      <c r="G48" s="54"/>
      <c r="H48" s="54">
        <v>0</v>
      </c>
      <c r="I48" s="54">
        <v>0</v>
      </c>
      <c r="J48" s="54">
        <v>0</v>
      </c>
      <c r="K48" s="54">
        <v>0</v>
      </c>
      <c r="L48" s="62">
        <f t="shared" si="15"/>
        <v>67</v>
      </c>
      <c r="M48" s="63">
        <f t="shared" si="15"/>
        <v>0</v>
      </c>
      <c r="N48" s="63">
        <f>SUM(N34-E48)</f>
        <v>117</v>
      </c>
      <c r="O48" s="63">
        <f t="shared" si="15"/>
        <v>0</v>
      </c>
      <c r="P48" s="63">
        <f t="shared" si="15"/>
        <v>0</v>
      </c>
      <c r="Q48" s="63">
        <f t="shared" si="15"/>
        <v>0</v>
      </c>
      <c r="R48" s="63">
        <f t="shared" si="15"/>
        <v>0</v>
      </c>
      <c r="S48" s="63">
        <f>SUM(S34-J48)</f>
        <v>0</v>
      </c>
      <c r="T48" s="64">
        <f t="shared" si="15"/>
        <v>0</v>
      </c>
      <c r="V48" s="8" t="s">
        <v>27</v>
      </c>
      <c r="W48" s="7" t="s">
        <v>21</v>
      </c>
      <c r="X48" s="54"/>
      <c r="Y48" s="54"/>
      <c r="Z48" s="54"/>
      <c r="AA48" s="54"/>
      <c r="AB48" s="54">
        <v>0</v>
      </c>
      <c r="AC48" s="54"/>
      <c r="AD48" s="54"/>
      <c r="AE48" s="54"/>
      <c r="AF48" s="55"/>
      <c r="AG48" s="62">
        <f t="shared" si="16"/>
        <v>0</v>
      </c>
      <c r="AH48" s="63">
        <f t="shared" si="16"/>
        <v>0</v>
      </c>
      <c r="AI48" s="63">
        <f t="shared" si="16"/>
        <v>0</v>
      </c>
      <c r="AJ48" s="63">
        <f t="shared" si="16"/>
        <v>0</v>
      </c>
      <c r="AK48" s="63">
        <f t="shared" si="16"/>
        <v>0</v>
      </c>
      <c r="AL48" s="63">
        <f t="shared" si="16"/>
        <v>0</v>
      </c>
      <c r="AM48" s="63">
        <f t="shared" si="16"/>
        <v>0</v>
      </c>
      <c r="AN48" s="63">
        <f t="shared" si="16"/>
        <v>0</v>
      </c>
      <c r="AO48" s="64">
        <f>SUM(AO34-AF48)</f>
        <v>0</v>
      </c>
    </row>
    <row r="49" spans="1:41" ht="16.149999999999999" customHeight="1">
      <c r="A49" s="6" t="s">
        <v>26</v>
      </c>
      <c r="B49" s="7" t="s">
        <v>22</v>
      </c>
      <c r="C49" s="54">
        <v>295</v>
      </c>
      <c r="D49" s="54">
        <v>1</v>
      </c>
      <c r="E49" s="54">
        <v>119</v>
      </c>
      <c r="F49" s="54">
        <v>4</v>
      </c>
      <c r="G49" s="54">
        <v>34</v>
      </c>
      <c r="H49" s="54"/>
      <c r="I49" s="54"/>
      <c r="J49" s="54"/>
      <c r="K49" s="54"/>
      <c r="L49" s="62">
        <f t="shared" si="15"/>
        <v>672</v>
      </c>
      <c r="M49" s="63">
        <f t="shared" si="15"/>
        <v>0</v>
      </c>
      <c r="N49" s="63">
        <f>SUM(N35-E49)</f>
        <v>487</v>
      </c>
      <c r="O49" s="63">
        <f>SUM(O35-F49)</f>
        <v>21</v>
      </c>
      <c r="P49" s="63">
        <f>SUM(P35-G49)</f>
        <v>-9</v>
      </c>
      <c r="Q49" s="63">
        <f t="shared" si="15"/>
        <v>0</v>
      </c>
      <c r="R49" s="63">
        <f t="shared" si="15"/>
        <v>0</v>
      </c>
      <c r="S49" s="63">
        <f t="shared" si="15"/>
        <v>0</v>
      </c>
      <c r="T49" s="64">
        <f t="shared" si="15"/>
        <v>2</v>
      </c>
      <c r="V49" s="8" t="s">
        <v>29</v>
      </c>
      <c r="W49" s="7" t="s">
        <v>21</v>
      </c>
      <c r="X49" s="54"/>
      <c r="Y49" s="54"/>
      <c r="Z49" s="54"/>
      <c r="AA49" s="54"/>
      <c r="AB49" s="54"/>
      <c r="AC49" s="54"/>
      <c r="AD49" s="54"/>
      <c r="AE49" s="54"/>
      <c r="AF49" s="55"/>
      <c r="AG49" s="62">
        <f t="shared" si="16"/>
        <v>0</v>
      </c>
      <c r="AH49" s="63">
        <f t="shared" si="16"/>
        <v>0</v>
      </c>
      <c r="AI49" s="63">
        <f t="shared" si="16"/>
        <v>0</v>
      </c>
      <c r="AJ49" s="63">
        <f t="shared" si="16"/>
        <v>0</v>
      </c>
      <c r="AK49" s="63">
        <f t="shared" si="16"/>
        <v>0</v>
      </c>
      <c r="AL49" s="63">
        <f t="shared" si="16"/>
        <v>0</v>
      </c>
      <c r="AM49" s="63">
        <f t="shared" si="16"/>
        <v>0</v>
      </c>
      <c r="AN49" s="63">
        <f t="shared" si="16"/>
        <v>0</v>
      </c>
      <c r="AO49" s="64">
        <f t="shared" si="16"/>
        <v>0</v>
      </c>
    </row>
    <row r="50" spans="1:41" ht="16.149999999999999" customHeight="1">
      <c r="A50" s="6" t="s">
        <v>24</v>
      </c>
      <c r="B50" s="7" t="s">
        <v>23</v>
      </c>
      <c r="C50" s="54"/>
      <c r="D50" s="54"/>
      <c r="E50" s="54"/>
      <c r="F50" s="54"/>
      <c r="G50" s="54"/>
      <c r="H50" s="54"/>
      <c r="I50" s="54"/>
      <c r="J50" s="54"/>
      <c r="K50" s="55"/>
      <c r="L50" s="62">
        <f t="shared" si="15"/>
        <v>0</v>
      </c>
      <c r="M50" s="63">
        <f t="shared" si="15"/>
        <v>0</v>
      </c>
      <c r="N50" s="63">
        <f t="shared" si="15"/>
        <v>0</v>
      </c>
      <c r="O50" s="63">
        <f t="shared" si="15"/>
        <v>0</v>
      </c>
      <c r="P50" s="63">
        <f t="shared" si="15"/>
        <v>0</v>
      </c>
      <c r="Q50" s="63">
        <f t="shared" si="15"/>
        <v>0</v>
      </c>
      <c r="R50" s="63">
        <f t="shared" si="15"/>
        <v>0</v>
      </c>
      <c r="S50" s="63">
        <f t="shared" si="15"/>
        <v>0</v>
      </c>
      <c r="T50" s="64">
        <f t="shared" si="15"/>
        <v>0</v>
      </c>
      <c r="V50" s="8" t="s">
        <v>25</v>
      </c>
      <c r="W50" s="7" t="s">
        <v>22</v>
      </c>
      <c r="X50" s="54">
        <v>193</v>
      </c>
      <c r="Y50" s="54"/>
      <c r="Z50" s="54">
        <v>180</v>
      </c>
      <c r="AA50" s="54">
        <v>1</v>
      </c>
      <c r="AB50" s="54">
        <v>22</v>
      </c>
      <c r="AC50" s="54"/>
      <c r="AD50" s="54"/>
      <c r="AE50" s="54"/>
      <c r="AF50" s="54"/>
      <c r="AG50" s="62">
        <f>SUM(AG36-X50)</f>
        <v>748</v>
      </c>
      <c r="AH50" s="63">
        <f>SUM(AH36-Y50)</f>
        <v>0</v>
      </c>
      <c r="AI50" s="63">
        <f t="shared" si="16"/>
        <v>366</v>
      </c>
      <c r="AJ50" s="63">
        <f t="shared" si="16"/>
        <v>7</v>
      </c>
      <c r="AK50" s="63">
        <f t="shared" si="16"/>
        <v>-8</v>
      </c>
      <c r="AL50" s="63">
        <f t="shared" si="16"/>
        <v>0</v>
      </c>
      <c r="AM50" s="63">
        <f t="shared" si="16"/>
        <v>5</v>
      </c>
      <c r="AN50" s="63">
        <f t="shared" si="16"/>
        <v>2</v>
      </c>
      <c r="AO50" s="64">
        <f t="shared" si="16"/>
        <v>7</v>
      </c>
    </row>
    <row r="51" spans="1:41" ht="16.149999999999999" customHeight="1">
      <c r="A51" s="88"/>
      <c r="B51" s="87"/>
      <c r="C51" s="54">
        <v>0</v>
      </c>
      <c r="D51" s="54">
        <v>0</v>
      </c>
      <c r="E51" s="54"/>
      <c r="F51" s="54">
        <v>0</v>
      </c>
      <c r="G51" s="54">
        <v>0</v>
      </c>
      <c r="H51" s="54">
        <v>0</v>
      </c>
      <c r="I51" s="54">
        <v>0</v>
      </c>
      <c r="J51" s="54">
        <v>0</v>
      </c>
      <c r="K51" s="54">
        <v>0</v>
      </c>
      <c r="L51" s="62">
        <f t="shared" si="15"/>
        <v>0</v>
      </c>
      <c r="M51" s="63">
        <f t="shared" si="15"/>
        <v>0</v>
      </c>
      <c r="N51" s="63">
        <f t="shared" si="15"/>
        <v>0</v>
      </c>
      <c r="O51" s="63">
        <f t="shared" si="15"/>
        <v>0</v>
      </c>
      <c r="P51" s="63">
        <f t="shared" si="15"/>
        <v>0</v>
      </c>
      <c r="Q51" s="63">
        <f t="shared" si="15"/>
        <v>0</v>
      </c>
      <c r="R51" s="63">
        <f t="shared" si="15"/>
        <v>0</v>
      </c>
      <c r="S51" s="63">
        <f t="shared" si="15"/>
        <v>0</v>
      </c>
      <c r="T51" s="64">
        <f t="shared" si="15"/>
        <v>0</v>
      </c>
      <c r="V51" s="8" t="s">
        <v>54</v>
      </c>
      <c r="W51" s="7" t="s">
        <v>22</v>
      </c>
      <c r="X51" s="54">
        <v>71</v>
      </c>
      <c r="Y51" s="54"/>
      <c r="Z51" s="68">
        <v>45</v>
      </c>
      <c r="AA51" s="54"/>
      <c r="AB51" s="54"/>
      <c r="AC51" s="54"/>
      <c r="AD51" s="54"/>
      <c r="AE51" s="54"/>
      <c r="AF51" s="54"/>
      <c r="AG51" s="62">
        <f>SUM(AG37-X51)</f>
        <v>49</v>
      </c>
      <c r="AH51" s="63">
        <f t="shared" si="16"/>
        <v>0</v>
      </c>
      <c r="AI51" s="63">
        <f>SUM(AI37-Z51)</f>
        <v>136</v>
      </c>
      <c r="AJ51" s="63">
        <f t="shared" si="16"/>
        <v>0</v>
      </c>
      <c r="AK51" s="63">
        <f t="shared" si="16"/>
        <v>0</v>
      </c>
      <c r="AL51" s="63">
        <f t="shared" si="16"/>
        <v>0</v>
      </c>
      <c r="AM51" s="63">
        <f t="shared" si="16"/>
        <v>0</v>
      </c>
      <c r="AN51" s="63">
        <f t="shared" si="16"/>
        <v>0</v>
      </c>
      <c r="AO51" s="64">
        <f t="shared" si="16"/>
        <v>0</v>
      </c>
    </row>
    <row r="52" spans="1:41" ht="16.149999999999999" customHeight="1">
      <c r="A52" s="6" t="s">
        <v>27</v>
      </c>
      <c r="B52" s="7" t="s">
        <v>23</v>
      </c>
      <c r="C52" s="54">
        <v>1</v>
      </c>
      <c r="D52" s="54"/>
      <c r="E52" s="54"/>
      <c r="F52" s="54"/>
      <c r="G52" s="54"/>
      <c r="H52" s="54"/>
      <c r="I52" s="54"/>
      <c r="J52" s="54"/>
      <c r="K52" s="55"/>
      <c r="L52" s="62">
        <f t="shared" si="15"/>
        <v>21</v>
      </c>
      <c r="M52" s="63">
        <f t="shared" si="15"/>
        <v>0</v>
      </c>
      <c r="N52" s="63">
        <f t="shared" si="15"/>
        <v>9</v>
      </c>
      <c r="O52" s="63">
        <f t="shared" si="15"/>
        <v>0</v>
      </c>
      <c r="P52" s="63">
        <f t="shared" si="15"/>
        <v>0</v>
      </c>
      <c r="Q52" s="63">
        <f t="shared" si="15"/>
        <v>0</v>
      </c>
      <c r="R52" s="63">
        <f t="shared" si="15"/>
        <v>0</v>
      </c>
      <c r="S52" s="63">
        <f t="shared" si="15"/>
        <v>0</v>
      </c>
      <c r="T52" s="64">
        <f t="shared" si="15"/>
        <v>0</v>
      </c>
      <c r="V52" s="8" t="s">
        <v>33</v>
      </c>
      <c r="W52" s="7" t="s">
        <v>22</v>
      </c>
      <c r="X52" s="54">
        <v>65</v>
      </c>
      <c r="Y52" s="54"/>
      <c r="Z52" s="54">
        <v>36</v>
      </c>
      <c r="AA52" s="54"/>
      <c r="AB52" s="54"/>
      <c r="AC52" s="54"/>
      <c r="AD52" s="54"/>
      <c r="AE52" s="54">
        <v>0</v>
      </c>
      <c r="AF52" s="54"/>
      <c r="AG52" s="62">
        <f>SUM(AG38-X52)</f>
        <v>174</v>
      </c>
      <c r="AH52" s="63">
        <f t="shared" si="16"/>
        <v>0</v>
      </c>
      <c r="AI52" s="63">
        <f>SUM(AI38-Z52)</f>
        <v>181</v>
      </c>
      <c r="AJ52" s="63">
        <f t="shared" si="16"/>
        <v>0</v>
      </c>
      <c r="AK52" s="63">
        <f t="shared" si="16"/>
        <v>0</v>
      </c>
      <c r="AL52" s="63">
        <f t="shared" si="16"/>
        <v>0</v>
      </c>
      <c r="AM52" s="63">
        <f t="shared" si="16"/>
        <v>0</v>
      </c>
      <c r="AN52" s="63">
        <f t="shared" si="16"/>
        <v>0</v>
      </c>
      <c r="AO52" s="64">
        <f t="shared" si="16"/>
        <v>0</v>
      </c>
    </row>
    <row r="53" spans="1:41" ht="16.899999999999999" customHeight="1">
      <c r="A53" s="6"/>
      <c r="B53" s="7"/>
      <c r="C53" s="54"/>
      <c r="D53" s="54"/>
      <c r="E53" s="54"/>
      <c r="F53" s="54"/>
      <c r="G53" s="54"/>
      <c r="H53" s="54"/>
      <c r="I53" s="54"/>
      <c r="J53" s="54"/>
      <c r="K53" s="55"/>
      <c r="L53" s="62"/>
      <c r="M53" s="63"/>
      <c r="N53" s="63"/>
      <c r="O53" s="63"/>
      <c r="P53" s="63"/>
      <c r="Q53" s="63"/>
      <c r="R53" s="63"/>
      <c r="S53" s="63"/>
      <c r="T53" s="64"/>
      <c r="V53" s="8" t="s">
        <v>20</v>
      </c>
      <c r="W53" s="7" t="s">
        <v>23</v>
      </c>
      <c r="X53" s="54"/>
      <c r="Y53" s="54"/>
      <c r="Z53" s="54"/>
      <c r="AA53" s="54"/>
      <c r="AB53" s="54"/>
      <c r="AC53" s="54"/>
      <c r="AD53" s="54"/>
      <c r="AE53" s="54"/>
      <c r="AF53" s="55"/>
      <c r="AG53" s="62">
        <f t="shared" si="16"/>
        <v>0</v>
      </c>
      <c r="AH53" s="63">
        <f t="shared" si="16"/>
        <v>0</v>
      </c>
      <c r="AI53" s="63">
        <f>SUM(AI39-Z53)</f>
        <v>0</v>
      </c>
      <c r="AJ53" s="63">
        <f t="shared" si="16"/>
        <v>0</v>
      </c>
      <c r="AK53" s="63">
        <f t="shared" si="16"/>
        <v>0</v>
      </c>
      <c r="AL53" s="63">
        <f t="shared" si="16"/>
        <v>0</v>
      </c>
      <c r="AM53" s="63">
        <f t="shared" si="16"/>
        <v>0</v>
      </c>
      <c r="AN53" s="63">
        <f t="shared" si="16"/>
        <v>0</v>
      </c>
      <c r="AO53" s="64">
        <f t="shared" si="16"/>
        <v>0</v>
      </c>
    </row>
    <row r="54" spans="1:41" ht="16.899999999999999" customHeight="1">
      <c r="A54" s="9" t="s">
        <v>18</v>
      </c>
      <c r="B54" s="9"/>
      <c r="C54" s="9"/>
      <c r="D54" s="9"/>
      <c r="E54" s="9"/>
      <c r="F54" s="9"/>
      <c r="G54" s="9"/>
      <c r="H54" s="9"/>
      <c r="I54" s="9"/>
      <c r="J54" s="9"/>
      <c r="K54" s="39"/>
      <c r="L54" s="36">
        <f t="shared" ref="L54:T54" si="17">SUM(L40-C54)</f>
        <v>0</v>
      </c>
      <c r="M54" s="10">
        <f>SUM(M40-D54)</f>
        <v>0</v>
      </c>
      <c r="N54" s="10">
        <f>SUM(N40-E54)</f>
        <v>0</v>
      </c>
      <c r="O54" s="10">
        <f t="shared" si="17"/>
        <v>0</v>
      </c>
      <c r="P54" s="10">
        <f t="shared" si="17"/>
        <v>0</v>
      </c>
      <c r="Q54" s="10">
        <f t="shared" si="17"/>
        <v>0</v>
      </c>
      <c r="R54" s="10">
        <f t="shared" si="17"/>
        <v>0</v>
      </c>
      <c r="S54" s="10">
        <f t="shared" si="17"/>
        <v>0</v>
      </c>
      <c r="T54" s="37">
        <f t="shared" si="17"/>
        <v>0</v>
      </c>
      <c r="U54" s="27"/>
      <c r="V54" s="9" t="s">
        <v>18</v>
      </c>
      <c r="W54" s="9"/>
      <c r="X54" s="9"/>
      <c r="Y54" s="9"/>
      <c r="Z54" s="9"/>
      <c r="AA54" s="9"/>
      <c r="AB54" s="9"/>
      <c r="AC54" s="9"/>
      <c r="AD54" s="9"/>
      <c r="AE54" s="9"/>
      <c r="AF54" s="39"/>
      <c r="AG54" s="36">
        <f t="shared" si="16"/>
        <v>0</v>
      </c>
      <c r="AH54" s="10">
        <f t="shared" si="16"/>
        <v>0</v>
      </c>
      <c r="AI54" s="10">
        <f t="shared" si="16"/>
        <v>0</v>
      </c>
      <c r="AJ54" s="10">
        <f t="shared" si="16"/>
        <v>0</v>
      </c>
      <c r="AK54" s="10">
        <f t="shared" si="16"/>
        <v>0</v>
      </c>
      <c r="AL54" s="10">
        <f t="shared" si="16"/>
        <v>0</v>
      </c>
      <c r="AM54" s="10">
        <f t="shared" si="16"/>
        <v>0</v>
      </c>
      <c r="AN54" s="10">
        <f t="shared" si="16"/>
        <v>0</v>
      </c>
      <c r="AO54" s="37">
        <f t="shared" si="16"/>
        <v>0</v>
      </c>
    </row>
    <row r="55" spans="1:41" ht="16.899999999999999" customHeight="1" thickBot="1">
      <c r="A55" s="96" t="s">
        <v>12</v>
      </c>
      <c r="B55" s="97"/>
      <c r="C55" s="6">
        <f t="shared" ref="C55:K55" si="18">SUM(C45:C54)</f>
        <v>396</v>
      </c>
      <c r="D55" s="6">
        <f t="shared" si="18"/>
        <v>1</v>
      </c>
      <c r="E55" s="6">
        <f t="shared" si="18"/>
        <v>193</v>
      </c>
      <c r="F55" s="6">
        <f t="shared" si="18"/>
        <v>4</v>
      </c>
      <c r="G55" s="6">
        <f t="shared" si="18"/>
        <v>34</v>
      </c>
      <c r="H55" s="6">
        <f t="shared" si="18"/>
        <v>0</v>
      </c>
      <c r="I55" s="6">
        <f t="shared" si="18"/>
        <v>0</v>
      </c>
      <c r="J55" s="6">
        <f t="shared" si="18"/>
        <v>0</v>
      </c>
      <c r="K55" s="33">
        <f t="shared" si="18"/>
        <v>0</v>
      </c>
      <c r="L55" s="38">
        <f>SUM(L45:L54)</f>
        <v>721</v>
      </c>
      <c r="M55" s="24">
        <f>SUM(M45:M54)</f>
        <v>0</v>
      </c>
      <c r="N55" s="24">
        <f>SUM(N45:N54)</f>
        <v>710</v>
      </c>
      <c r="O55" s="24">
        <f t="shared" ref="O55:S55" si="19">SUM(O45:O54)</f>
        <v>21</v>
      </c>
      <c r="P55" s="24">
        <f t="shared" si="19"/>
        <v>-9</v>
      </c>
      <c r="Q55" s="24">
        <f t="shared" si="19"/>
        <v>0</v>
      </c>
      <c r="R55" s="24">
        <f t="shared" si="19"/>
        <v>0</v>
      </c>
      <c r="S55" s="24">
        <f t="shared" si="19"/>
        <v>0</v>
      </c>
      <c r="T55" s="25">
        <f>SUM(T45:T54)</f>
        <v>2</v>
      </c>
      <c r="V55" s="96" t="s">
        <v>13</v>
      </c>
      <c r="W55" s="97"/>
      <c r="X55" s="6">
        <f t="shared" ref="X55:AF55" si="20">SUM(X45:X54)</f>
        <v>329</v>
      </c>
      <c r="Y55" s="6">
        <f t="shared" si="20"/>
        <v>0</v>
      </c>
      <c r="Z55" s="6">
        <f t="shared" si="20"/>
        <v>261</v>
      </c>
      <c r="AA55" s="6">
        <f t="shared" si="20"/>
        <v>1</v>
      </c>
      <c r="AB55" s="6">
        <f t="shared" si="20"/>
        <v>22</v>
      </c>
      <c r="AC55" s="6">
        <f t="shared" si="20"/>
        <v>0</v>
      </c>
      <c r="AD55" s="6">
        <f t="shared" si="20"/>
        <v>0</v>
      </c>
      <c r="AE55" s="6">
        <f t="shared" si="20"/>
        <v>0</v>
      </c>
      <c r="AF55" s="33">
        <f t="shared" si="20"/>
        <v>0</v>
      </c>
      <c r="AG55" s="38">
        <f>SUM(AG45:AG54)</f>
        <v>971</v>
      </c>
      <c r="AH55" s="24">
        <f t="shared" ref="AH55:AO55" si="21">SUM(AH45:AH54)</f>
        <v>0</v>
      </c>
      <c r="AI55" s="24">
        <f t="shared" si="21"/>
        <v>683</v>
      </c>
      <c r="AJ55" s="24">
        <f t="shared" si="21"/>
        <v>7</v>
      </c>
      <c r="AK55" s="24">
        <f>SUM(AK45:AK54)</f>
        <v>-8</v>
      </c>
      <c r="AL55" s="24">
        <f t="shared" si="21"/>
        <v>0</v>
      </c>
      <c r="AM55" s="24">
        <f t="shared" si="21"/>
        <v>5</v>
      </c>
      <c r="AN55" s="24">
        <f t="shared" si="21"/>
        <v>2</v>
      </c>
      <c r="AO55" s="25">
        <f t="shared" si="21"/>
        <v>7</v>
      </c>
    </row>
    <row r="57" spans="1:41" ht="16.899999999999999" customHeight="1">
      <c r="A57" s="26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V57" s="27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  <c r="AK57" s="108"/>
      <c r="AL57" s="108"/>
      <c r="AM57" s="108"/>
      <c r="AN57" s="108"/>
      <c r="AO57" s="108"/>
    </row>
    <row r="58" spans="1:41" ht="16.899999999999999" customHeight="1"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V58" s="27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08"/>
      <c r="AH58" s="108"/>
      <c r="AI58" s="108"/>
      <c r="AJ58" s="108"/>
      <c r="AK58" s="108"/>
      <c r="AL58" s="108"/>
      <c r="AM58" s="108"/>
      <c r="AN58" s="108"/>
      <c r="AO58" s="108"/>
    </row>
    <row r="59" spans="1:41" ht="16.899999999999999" customHeight="1">
      <c r="B59" s="107"/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  <c r="AK59" s="107"/>
      <c r="AL59" s="107"/>
      <c r="AM59" s="107"/>
      <c r="AN59" s="107"/>
      <c r="AO59" s="107"/>
    </row>
    <row r="60" spans="1:41" ht="16.899999999999999" customHeight="1"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W60" s="107" t="s">
        <v>44</v>
      </c>
      <c r="X60" s="107"/>
      <c r="Y60" s="107"/>
      <c r="Z60" s="107"/>
      <c r="AA60" s="107"/>
      <c r="AB60" s="107"/>
      <c r="AC60" s="107"/>
      <c r="AD60" s="107"/>
      <c r="AE60" s="107"/>
      <c r="AF60" s="107"/>
      <c r="AG60" s="107"/>
      <c r="AH60" s="107"/>
      <c r="AI60" s="107"/>
      <c r="AJ60" s="107"/>
      <c r="AK60" s="107"/>
      <c r="AL60" s="107"/>
      <c r="AM60" s="107"/>
      <c r="AN60" s="107"/>
      <c r="AO60" s="107"/>
    </row>
  </sheetData>
  <mergeCells count="43">
    <mergeCell ref="AL1:AO1"/>
    <mergeCell ref="A55:B55"/>
    <mergeCell ref="A41:B41"/>
    <mergeCell ref="A43:B44"/>
    <mergeCell ref="A29:B30"/>
    <mergeCell ref="C2:K2"/>
    <mergeCell ref="A17:A18"/>
    <mergeCell ref="C17:K17"/>
    <mergeCell ref="L17:T17"/>
    <mergeCell ref="A2:B3"/>
    <mergeCell ref="A15:B15"/>
    <mergeCell ref="X2:AF2"/>
    <mergeCell ref="V17:V18"/>
    <mergeCell ref="X17:AF17"/>
    <mergeCell ref="AG17:AO17"/>
    <mergeCell ref="AG29:AO29"/>
    <mergeCell ref="V2:W3"/>
    <mergeCell ref="V15:W15"/>
    <mergeCell ref="V29:W30"/>
    <mergeCell ref="R2:T2"/>
    <mergeCell ref="L2:Q2"/>
    <mergeCell ref="AM2:AO2"/>
    <mergeCell ref="AG2:AL2"/>
    <mergeCell ref="B60:T60"/>
    <mergeCell ref="W60:AO60"/>
    <mergeCell ref="B58:T58"/>
    <mergeCell ref="B59:T59"/>
    <mergeCell ref="W57:AO57"/>
    <mergeCell ref="W58:AO58"/>
    <mergeCell ref="W59:AO59"/>
    <mergeCell ref="B57:T57"/>
    <mergeCell ref="V55:W55"/>
    <mergeCell ref="L43:T43"/>
    <mergeCell ref="AG43:AO43"/>
    <mergeCell ref="L29:T29"/>
    <mergeCell ref="I43:K43"/>
    <mergeCell ref="C43:H43"/>
    <mergeCell ref="AD43:AF43"/>
    <mergeCell ref="X43:AC43"/>
    <mergeCell ref="C29:H29"/>
    <mergeCell ref="X29:AC29"/>
    <mergeCell ref="V41:W41"/>
    <mergeCell ref="V43:W44"/>
  </mergeCells>
  <phoneticPr fontId="1" type="noConversion"/>
  <conditionalFormatting sqref="A29 A41">
    <cfRule type="cellIs" dxfId="26" priority="122" operator="lessThan">
      <formula>0</formula>
    </cfRule>
  </conditionalFormatting>
  <conditionalFormatting sqref="A31:A39">
    <cfRule type="cellIs" dxfId="25" priority="7" operator="lessThan">
      <formula>0</formula>
    </cfRule>
  </conditionalFormatting>
  <conditionalFormatting sqref="A43 A55">
    <cfRule type="cellIs" dxfId="24" priority="121" operator="lessThan">
      <formula>0</formula>
    </cfRule>
  </conditionalFormatting>
  <conditionalFormatting sqref="A45:A53">
    <cfRule type="cellIs" dxfId="23" priority="2" operator="lessThan">
      <formula>0</formula>
    </cfRule>
  </conditionalFormatting>
  <conditionalFormatting sqref="A57:B60 U57:U60 V59:W60">
    <cfRule type="cellIs" dxfId="22" priority="206" operator="lessThan">
      <formula>0</formula>
    </cfRule>
  </conditionalFormatting>
  <conditionalFormatting sqref="A1:AL1 U2:V2 V13:W14 V15 V16:W28 V40:W40 V42:AO42 V54:W54">
    <cfRule type="cellIs" dxfId="21" priority="120" operator="lessThan">
      <formula>0</formula>
    </cfRule>
  </conditionalFormatting>
  <conditionalFormatting sqref="A56:AO56">
    <cfRule type="cellIs" dxfId="20" priority="249" operator="lessThan">
      <formula>0</formula>
    </cfRule>
  </conditionalFormatting>
  <conditionalFormatting sqref="A61:AO1048576">
    <cfRule type="cellIs" dxfId="19" priority="268" operator="lessThan">
      <formula>0</formula>
    </cfRule>
  </conditionalFormatting>
  <conditionalFormatting sqref="C31:K37">
    <cfRule type="cellIs" priority="18" stopIfTrue="1" operator="equal">
      <formula>$D$4</formula>
    </cfRule>
  </conditionalFormatting>
  <conditionalFormatting sqref="C30:T41">
    <cfRule type="cellIs" dxfId="18" priority="19" operator="lessThan">
      <formula>0</formula>
    </cfRule>
  </conditionalFormatting>
  <conditionalFormatting sqref="C44:T54">
    <cfRule type="cellIs" dxfId="17" priority="25" operator="lessThan">
      <formula>0</formula>
    </cfRule>
  </conditionalFormatting>
  <conditionalFormatting sqref="C55:V55">
    <cfRule type="cellIs" dxfId="16" priority="16" operator="lessThan">
      <formula>0</formula>
    </cfRule>
  </conditionalFormatting>
  <conditionalFormatting sqref="L12:T14">
    <cfRule type="cellIs" dxfId="15" priority="82" operator="lessThan">
      <formula>0</formula>
    </cfRule>
  </conditionalFormatting>
  <conditionalFormatting sqref="V4:V13">
    <cfRule type="cellIs" dxfId="14" priority="1" operator="lessThan">
      <formula>0</formula>
    </cfRule>
  </conditionalFormatting>
  <conditionalFormatting sqref="V29 V41">
    <cfRule type="cellIs" dxfId="13" priority="118" operator="lessThan">
      <formula>0</formula>
    </cfRule>
  </conditionalFormatting>
  <conditionalFormatting sqref="V31:V39">
    <cfRule type="cellIs" dxfId="12" priority="4" operator="lessThan">
      <formula>0</formula>
    </cfRule>
  </conditionalFormatting>
  <conditionalFormatting sqref="V43">
    <cfRule type="cellIs" dxfId="11" priority="117" operator="lessThan">
      <formula>0</formula>
    </cfRule>
  </conditionalFormatting>
  <conditionalFormatting sqref="V45:V53">
    <cfRule type="cellIs" dxfId="10" priority="3" operator="lessThan">
      <formula>0</formula>
    </cfRule>
  </conditionalFormatting>
  <conditionalFormatting sqref="W57:W58">
    <cfRule type="cellIs" dxfId="9" priority="205" operator="lessThan">
      <formula>0</formula>
    </cfRule>
  </conditionalFormatting>
  <conditionalFormatting sqref="X4:AF13">
    <cfRule type="colorScale" priority="42">
      <colorScale>
        <cfvo type="num" val="0"/>
        <cfvo type="num" val="0"/>
        <color theme="0"/>
        <color theme="0"/>
      </colorScale>
    </cfRule>
  </conditionalFormatting>
  <conditionalFormatting sqref="X45:AF50 X51:Y51 AA51:AF51">
    <cfRule type="cellIs" dxfId="8" priority="15" operator="lessThan">
      <formula>0</formula>
    </cfRule>
  </conditionalFormatting>
  <conditionalFormatting sqref="X52:AF55">
    <cfRule type="cellIs" dxfId="7" priority="12" operator="lessThan">
      <formula>0</formula>
    </cfRule>
  </conditionalFormatting>
  <conditionalFormatting sqref="X2:AG2">
    <cfRule type="cellIs" dxfId="6" priority="11" operator="lessThan">
      <formula>0</formula>
    </cfRule>
  </conditionalFormatting>
  <conditionalFormatting sqref="X14:AO28">
    <cfRule type="cellIs" dxfId="5" priority="43" operator="lessThan">
      <formula>0</formula>
    </cfRule>
  </conditionalFormatting>
  <conditionalFormatting sqref="X30:AO41">
    <cfRule type="cellIs" dxfId="4" priority="17" operator="lessThan">
      <formula>0</formula>
    </cfRule>
  </conditionalFormatting>
  <conditionalFormatting sqref="AG45:AO55">
    <cfRule type="cellIs" dxfId="3" priority="21" operator="lessThan">
      <formula>0</formula>
    </cfRule>
  </conditionalFormatting>
  <conditionalFormatting sqref="AP1:XFD1048576 A2 C2:L2 R2 AM2 C3:U3 X3:AO3 L4:U11 AG4:AO13 A4:A15 U12:U53 A13:B13 C14:K14 C15:T15 A16:T28 C29 L29:T29 X29 AD29 AG29:AO29 I29:I30 A40:B40 A42:T42 C43 I43 L43:T43 X43 AD43 AG43:AO43 X44:AO44 A54:B54">
    <cfRule type="cellIs" dxfId="2" priority="124" operator="lessThan">
      <formula>0</formula>
    </cfRule>
  </conditionalFormatting>
  <printOptions horizontalCentered="1"/>
  <pageMargins left="0" right="0" top="0.5" bottom="0" header="0.3" footer="0.3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T27"/>
  <sheetViews>
    <sheetView showGridLines="0" zoomScale="110" zoomScaleNormal="110" workbookViewId="0">
      <selection activeCell="R9" sqref="R9"/>
    </sheetView>
  </sheetViews>
  <sheetFormatPr defaultRowHeight="15"/>
  <cols>
    <col min="1" max="1" width="22" bestFit="1" customWidth="1"/>
    <col min="2" max="6" width="5.5703125" bestFit="1" customWidth="1"/>
    <col min="7" max="8" width="5.7109375" bestFit="1" customWidth="1"/>
    <col min="9" max="10" width="5.5703125" bestFit="1" customWidth="1"/>
    <col min="11" max="11" width="5" customWidth="1"/>
    <col min="15" max="15" width="16.140625" bestFit="1" customWidth="1"/>
    <col min="20" max="20" width="16.140625" bestFit="1" customWidth="1"/>
  </cols>
  <sheetData>
    <row r="1" spans="1:20" ht="15.75" thickBot="1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3"/>
    </row>
    <row r="2" spans="1:20" ht="21.75" thickBot="1">
      <c r="A2" s="40" t="s">
        <v>37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9</v>
      </c>
      <c r="L2" s="124" t="s">
        <v>56</v>
      </c>
      <c r="M2" s="124"/>
      <c r="N2" s="124"/>
      <c r="O2" s="124"/>
      <c r="Q2" s="124" t="s">
        <v>57</v>
      </c>
      <c r="R2" s="124"/>
      <c r="S2" s="124"/>
      <c r="T2" s="124"/>
    </row>
    <row r="3" spans="1:20" ht="17.25" customHeight="1" thickBot="1">
      <c r="A3" s="42" t="s">
        <v>43</v>
      </c>
      <c r="B3" s="43">
        <f>Daily!L15</f>
        <v>1573</v>
      </c>
      <c r="C3" s="43">
        <f>Daily!M15</f>
        <v>2</v>
      </c>
      <c r="D3" s="43">
        <f>Daily!N15</f>
        <v>1200</v>
      </c>
      <c r="E3" s="43">
        <f>Daily!O15</f>
        <v>31</v>
      </c>
      <c r="F3" s="43">
        <f>Daily!P15</f>
        <v>70</v>
      </c>
      <c r="G3" s="43">
        <f>Daily!Q15</f>
        <v>0</v>
      </c>
      <c r="H3" s="43">
        <f>Daily!R15</f>
        <v>0</v>
      </c>
      <c r="I3" s="43">
        <f>Daily!S15</f>
        <v>0</v>
      </c>
      <c r="J3" s="43">
        <f>Daily!T15</f>
        <v>2</v>
      </c>
      <c r="L3" s="125" t="s">
        <v>51</v>
      </c>
      <c r="M3" s="81" t="s">
        <v>50</v>
      </c>
      <c r="N3" s="81" t="s">
        <v>49</v>
      </c>
      <c r="O3" s="80" t="s">
        <v>48</v>
      </c>
      <c r="P3" s="84"/>
      <c r="Q3" s="125" t="s">
        <v>51</v>
      </c>
      <c r="R3" s="81" t="s">
        <v>50</v>
      </c>
      <c r="S3" s="81" t="s">
        <v>49</v>
      </c>
      <c r="T3" s="80" t="s">
        <v>48</v>
      </c>
    </row>
    <row r="4" spans="1:20" ht="17.25" thickBot="1">
      <c r="A4" s="42" t="s">
        <v>38</v>
      </c>
      <c r="B4" s="49"/>
      <c r="C4" s="49"/>
      <c r="D4" s="49"/>
      <c r="E4" s="49"/>
      <c r="F4" s="49"/>
      <c r="G4" s="49"/>
      <c r="H4" s="49"/>
      <c r="I4" s="49"/>
      <c r="J4" s="49"/>
      <c r="L4" s="126"/>
      <c r="M4" s="80" t="s">
        <v>5</v>
      </c>
      <c r="N4" s="80" t="s">
        <v>5</v>
      </c>
      <c r="O4" s="80" t="s">
        <v>5</v>
      </c>
      <c r="P4" s="84"/>
      <c r="Q4" s="126"/>
      <c r="R4" s="80" t="s">
        <v>5</v>
      </c>
      <c r="S4" s="80" t="s">
        <v>5</v>
      </c>
      <c r="T4" s="80" t="s">
        <v>5</v>
      </c>
    </row>
    <row r="5" spans="1:20" ht="17.25" thickBot="1">
      <c r="A5" s="42" t="s">
        <v>39</v>
      </c>
      <c r="B5" s="49"/>
      <c r="C5" s="50"/>
      <c r="D5" s="51"/>
      <c r="E5" s="49"/>
      <c r="F5" s="49"/>
      <c r="G5" s="49"/>
      <c r="H5" s="49"/>
      <c r="I5" s="49"/>
      <c r="J5" s="49"/>
      <c r="L5" s="83">
        <v>2025</v>
      </c>
      <c r="M5" s="79">
        <v>24</v>
      </c>
      <c r="N5" s="79">
        <v>0</v>
      </c>
      <c r="O5" s="79">
        <v>2</v>
      </c>
      <c r="P5" s="84"/>
      <c r="Q5" s="83">
        <v>2025</v>
      </c>
      <c r="R5" s="79">
        <v>44</v>
      </c>
      <c r="S5" s="79">
        <v>0</v>
      </c>
      <c r="T5" s="79">
        <v>0</v>
      </c>
    </row>
    <row r="6" spans="1:20" ht="17.25" thickBot="1">
      <c r="A6" s="42" t="s">
        <v>58</v>
      </c>
      <c r="B6" s="43"/>
      <c r="C6" s="44"/>
      <c r="D6" s="43"/>
      <c r="E6" s="43"/>
      <c r="F6" s="43"/>
      <c r="G6" s="43"/>
      <c r="H6" s="43"/>
      <c r="I6" s="43"/>
      <c r="J6" s="43"/>
      <c r="L6" s="83">
        <v>2023</v>
      </c>
      <c r="M6" s="79">
        <v>8</v>
      </c>
      <c r="N6" s="79">
        <v>0</v>
      </c>
      <c r="O6" s="79">
        <v>0</v>
      </c>
      <c r="P6" s="84"/>
      <c r="Q6" s="83">
        <v>2023</v>
      </c>
      <c r="R6" s="80">
        <v>2</v>
      </c>
      <c r="S6" s="79">
        <v>0</v>
      </c>
      <c r="T6" s="79">
        <v>0</v>
      </c>
    </row>
    <row r="7" spans="1:20" ht="17.25" thickBot="1">
      <c r="A7" s="42" t="s">
        <v>40</v>
      </c>
      <c r="B7" s="43">
        <f>Daily!C15</f>
        <v>373</v>
      </c>
      <c r="C7" s="43">
        <f>Daily!D15</f>
        <v>0</v>
      </c>
      <c r="D7" s="43">
        <f>Daily!E15</f>
        <v>212</v>
      </c>
      <c r="E7" s="43">
        <f>Daily!F15</f>
        <v>6</v>
      </c>
      <c r="F7" s="43">
        <f>Daily!G15</f>
        <v>14</v>
      </c>
      <c r="G7" s="43">
        <f>Daily!H15</f>
        <v>0</v>
      </c>
      <c r="H7" s="43">
        <f>Daily!I15</f>
        <v>0</v>
      </c>
      <c r="I7" s="43">
        <f>Daily!J15</f>
        <v>0</v>
      </c>
      <c r="J7" s="43">
        <f>Daily!K15</f>
        <v>0</v>
      </c>
      <c r="L7" s="80">
        <v>2021</v>
      </c>
      <c r="M7" s="79">
        <v>4</v>
      </c>
      <c r="N7" s="79">
        <v>0</v>
      </c>
      <c r="O7" s="79">
        <v>0</v>
      </c>
      <c r="P7" s="84"/>
      <c r="Q7" s="80">
        <v>2021</v>
      </c>
      <c r="R7" s="80">
        <v>3</v>
      </c>
      <c r="S7" s="79">
        <v>0</v>
      </c>
      <c r="T7" s="79">
        <v>0</v>
      </c>
    </row>
    <row r="8" spans="1:20" ht="17.25" thickBot="1">
      <c r="A8" s="45" t="s">
        <v>63</v>
      </c>
      <c r="B8" s="46">
        <f>Daily!C41</f>
        <v>456</v>
      </c>
      <c r="C8" s="46">
        <f>Daily!D41</f>
        <v>1</v>
      </c>
      <c r="D8" s="46">
        <f>Daily!E41</f>
        <v>297</v>
      </c>
      <c r="E8" s="46">
        <f>Daily!F41</f>
        <v>6</v>
      </c>
      <c r="F8" s="46">
        <f>Daily!G41</f>
        <v>45</v>
      </c>
      <c r="G8" s="46">
        <f>Daily!H41</f>
        <v>0</v>
      </c>
      <c r="H8" s="46">
        <f>Daily!I41</f>
        <v>0</v>
      </c>
      <c r="I8" s="46">
        <f>Daily!J41</f>
        <v>0</v>
      </c>
      <c r="J8" s="46">
        <f>Daily!K41</f>
        <v>0</v>
      </c>
      <c r="L8" s="80">
        <v>2020</v>
      </c>
      <c r="M8" s="79">
        <v>12</v>
      </c>
      <c r="N8" s="79">
        <v>0</v>
      </c>
      <c r="O8" s="79">
        <v>0</v>
      </c>
      <c r="P8" s="84"/>
      <c r="Q8" s="80">
        <v>2020</v>
      </c>
      <c r="R8" s="80">
        <v>4</v>
      </c>
      <c r="S8" s="79">
        <v>0</v>
      </c>
      <c r="T8" s="79">
        <v>0</v>
      </c>
    </row>
    <row r="9" spans="1:20" ht="17.25" thickBot="1">
      <c r="A9" s="45" t="s">
        <v>64</v>
      </c>
      <c r="B9" s="46">
        <f>Daily!C55</f>
        <v>396</v>
      </c>
      <c r="C9" s="46">
        <f>Daily!D55</f>
        <v>1</v>
      </c>
      <c r="D9" s="46">
        <f>Daily!E55</f>
        <v>193</v>
      </c>
      <c r="E9" s="46">
        <f>Daily!F55</f>
        <v>4</v>
      </c>
      <c r="F9" s="46">
        <f>Daily!G55</f>
        <v>34</v>
      </c>
      <c r="G9" s="46">
        <f>Daily!H55</f>
        <v>0</v>
      </c>
      <c r="H9" s="46">
        <f>Daily!I55</f>
        <v>0</v>
      </c>
      <c r="I9" s="46">
        <f>Daily!J55</f>
        <v>0</v>
      </c>
      <c r="J9" s="46">
        <f>Daily!K55</f>
        <v>0</v>
      </c>
      <c r="L9" s="85" t="s">
        <v>47</v>
      </c>
      <c r="M9" s="78">
        <f>SUM(M5:M8)</f>
        <v>48</v>
      </c>
      <c r="N9" s="78">
        <f>SUM(N5:N8)</f>
        <v>0</v>
      </c>
      <c r="O9" s="78">
        <f>SUM(O5:O8)</f>
        <v>2</v>
      </c>
      <c r="P9" s="84"/>
      <c r="Q9" s="85" t="s">
        <v>47</v>
      </c>
      <c r="R9" s="78">
        <f>SUM(R5:R8)</f>
        <v>53</v>
      </c>
      <c r="S9" s="78">
        <f>SUM(S5:S8)</f>
        <v>0</v>
      </c>
      <c r="T9" s="78">
        <f>SUM(T5:T8)</f>
        <v>0</v>
      </c>
    </row>
    <row r="10" spans="1:20" ht="15.75" thickBot="1">
      <c r="A10" s="47" t="s">
        <v>41</v>
      </c>
      <c r="B10" s="48">
        <f>(B3+B4+B5+B6+B7)-(B8+B9)</f>
        <v>1094</v>
      </c>
      <c r="C10" s="48">
        <f t="shared" ref="C10:J10" si="0">(C3+C4+C5+C6+C7)-(C8+C9)</f>
        <v>0</v>
      </c>
      <c r="D10" s="48">
        <f t="shared" si="0"/>
        <v>922</v>
      </c>
      <c r="E10" s="48">
        <f t="shared" si="0"/>
        <v>27</v>
      </c>
      <c r="F10" s="48">
        <f t="shared" si="0"/>
        <v>5</v>
      </c>
      <c r="G10" s="48">
        <f t="shared" si="0"/>
        <v>0</v>
      </c>
      <c r="H10" s="48">
        <f t="shared" si="0"/>
        <v>0</v>
      </c>
      <c r="I10" s="48">
        <f t="shared" si="0"/>
        <v>0</v>
      </c>
      <c r="J10" s="48">
        <f t="shared" si="0"/>
        <v>2</v>
      </c>
    </row>
    <row r="11" spans="1:20" ht="16.5">
      <c r="P11" s="84"/>
    </row>
    <row r="12" spans="1:20" ht="17.25" thickBot="1">
      <c r="P12" s="84"/>
    </row>
    <row r="13" spans="1:20" ht="15.75" thickBot="1">
      <c r="A13" s="121" t="s">
        <v>42</v>
      </c>
      <c r="B13" s="122"/>
      <c r="C13" s="122"/>
      <c r="D13" s="122"/>
      <c r="E13" s="122"/>
      <c r="F13" s="122"/>
      <c r="G13" s="122"/>
      <c r="H13" s="122"/>
      <c r="I13" s="122"/>
      <c r="J13" s="123"/>
    </row>
    <row r="14" spans="1:20" ht="15.75" thickBot="1">
      <c r="A14" s="40" t="s">
        <v>37</v>
      </c>
      <c r="B14" s="41" t="s">
        <v>1</v>
      </c>
      <c r="C14" s="41" t="s">
        <v>2</v>
      </c>
      <c r="D14" s="41" t="s">
        <v>3</v>
      </c>
      <c r="E14" s="41" t="s">
        <v>4</v>
      </c>
      <c r="F14" s="41" t="s">
        <v>5</v>
      </c>
      <c r="G14" s="41" t="s">
        <v>6</v>
      </c>
      <c r="H14" s="41" t="s">
        <v>7</v>
      </c>
      <c r="I14" s="41" t="s">
        <v>8</v>
      </c>
      <c r="J14" s="41" t="s">
        <v>9</v>
      </c>
    </row>
    <row r="15" spans="1:20" ht="15.75" thickBot="1">
      <c r="A15" s="42" t="s">
        <v>43</v>
      </c>
      <c r="B15" s="43">
        <f>Daily!AG15</f>
        <v>1970</v>
      </c>
      <c r="C15" s="43">
        <f>Daily!AH15</f>
        <v>0</v>
      </c>
      <c r="D15" s="43">
        <f>Daily!AI15</f>
        <v>1319</v>
      </c>
      <c r="E15" s="43">
        <f>Daily!AJ15</f>
        <v>10</v>
      </c>
      <c r="F15" s="43">
        <f>Daily!AK15</f>
        <v>70</v>
      </c>
      <c r="G15" s="43">
        <f>Daily!AL15</f>
        <v>0</v>
      </c>
      <c r="H15" s="43">
        <f>Daily!AM15</f>
        <v>5</v>
      </c>
      <c r="I15" s="43">
        <f>Daily!AN15</f>
        <v>2</v>
      </c>
      <c r="J15" s="43">
        <f>Daily!AO15</f>
        <v>7</v>
      </c>
    </row>
    <row r="16" spans="1:20" ht="15.75" thickBot="1">
      <c r="A16" s="42" t="s">
        <v>38</v>
      </c>
      <c r="B16" s="43">
        <v>70</v>
      </c>
      <c r="C16" s="43"/>
      <c r="D16" s="43">
        <v>60</v>
      </c>
      <c r="E16" s="43"/>
      <c r="F16" s="43"/>
      <c r="G16" s="43"/>
      <c r="H16" s="43"/>
      <c r="I16" s="43"/>
      <c r="J16" s="43"/>
    </row>
    <row r="17" spans="1:10" ht="15.75" thickBot="1">
      <c r="A17" s="42" t="s">
        <v>39</v>
      </c>
      <c r="B17" s="43"/>
      <c r="C17" s="43"/>
      <c r="D17" s="43"/>
      <c r="E17" s="43"/>
      <c r="F17" s="43"/>
      <c r="G17" s="43"/>
      <c r="H17" s="43"/>
      <c r="I17" s="43"/>
      <c r="J17" s="43"/>
    </row>
    <row r="18" spans="1:10" ht="15.75" thickBot="1">
      <c r="A18" s="42" t="s">
        <v>58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ht="15.75" thickBot="1">
      <c r="A19" s="42" t="s">
        <v>40</v>
      </c>
      <c r="B19" s="43">
        <f>Daily!X15</f>
        <v>269</v>
      </c>
      <c r="C19" s="43">
        <f>Daily!Y15</f>
        <v>0</v>
      </c>
      <c r="D19" s="43">
        <f>Daily!Z15</f>
        <v>287</v>
      </c>
      <c r="E19" s="43">
        <f>Daily!AA15</f>
        <v>0</v>
      </c>
      <c r="F19" s="43">
        <f>Daily!AB15</f>
        <v>1</v>
      </c>
      <c r="G19" s="43">
        <f>Daily!AC15</f>
        <v>0</v>
      </c>
      <c r="H19" s="43">
        <f>Daily!AD15</f>
        <v>0</v>
      </c>
      <c r="I19" s="43">
        <f>Daily!AE15</f>
        <v>1</v>
      </c>
      <c r="J19" s="43">
        <f>Daily!AF15</f>
        <v>0</v>
      </c>
    </row>
    <row r="20" spans="1:10" ht="15.75" thickBot="1">
      <c r="A20" s="45" t="str">
        <f>A8</f>
        <v>Booking (25-04/10)2026</v>
      </c>
      <c r="B20" s="46">
        <f>Daily!X41</f>
        <v>495</v>
      </c>
      <c r="C20" s="46">
        <f>Daily!Y41</f>
        <v>0</v>
      </c>
      <c r="D20" s="46">
        <f>Daily!Z41</f>
        <v>375</v>
      </c>
      <c r="E20" s="46">
        <f>Daily!AA41</f>
        <v>2</v>
      </c>
      <c r="F20" s="46">
        <f>Daily!AB41</f>
        <v>56</v>
      </c>
      <c r="G20" s="46">
        <f>Daily!AC41</f>
        <v>0</v>
      </c>
      <c r="H20" s="46">
        <f>Daily!AD41</f>
        <v>0</v>
      </c>
      <c r="I20" s="46">
        <f>Daily!AE41</f>
        <v>0</v>
      </c>
      <c r="J20" s="46">
        <f>Daily!AF41</f>
        <v>0</v>
      </c>
    </row>
    <row r="21" spans="1:10" ht="15.75" thickBot="1">
      <c r="A21" s="45" t="str">
        <f>A9</f>
        <v>Booking (05-11/10)2026</v>
      </c>
      <c r="B21" s="46">
        <f>Daily!X55</f>
        <v>329</v>
      </c>
      <c r="C21" s="46">
        <f>Daily!Y55</f>
        <v>0</v>
      </c>
      <c r="D21" s="46">
        <f>Daily!Z55</f>
        <v>261</v>
      </c>
      <c r="E21" s="46">
        <f>Daily!AA55</f>
        <v>1</v>
      </c>
      <c r="F21" s="46">
        <f>Daily!AB55</f>
        <v>22</v>
      </c>
      <c r="G21" s="46">
        <f>Daily!AC55</f>
        <v>0</v>
      </c>
      <c r="H21" s="46">
        <f>Daily!AD55</f>
        <v>0</v>
      </c>
      <c r="I21" s="46">
        <f>Daily!AE55</f>
        <v>0</v>
      </c>
      <c r="J21" s="46">
        <f>Daily!AF55</f>
        <v>0</v>
      </c>
    </row>
    <row r="22" spans="1:10" ht="15.75" thickBot="1">
      <c r="A22" s="47" t="s">
        <v>41</v>
      </c>
      <c r="B22" s="48">
        <f>(B15+B16+B17+B18+B19)-(B20+B21)</f>
        <v>1485</v>
      </c>
      <c r="C22" s="48">
        <f t="shared" ref="C22:J22" si="1">(C15+C16+C17+C18+C19)-(C20+C21)</f>
        <v>0</v>
      </c>
      <c r="D22" s="48">
        <f>(D15+D16+D17+D18+D19)-(D20+D21)</f>
        <v>1030</v>
      </c>
      <c r="E22" s="48">
        <f>(E15+E16+E17+E18+E19)-(E20+E21)</f>
        <v>7</v>
      </c>
      <c r="F22" s="48">
        <f>(F15+F16+F17+F18+F19)-(F20+F21)</f>
        <v>-7</v>
      </c>
      <c r="G22" s="48">
        <f t="shared" si="1"/>
        <v>0</v>
      </c>
      <c r="H22" s="48">
        <f t="shared" si="1"/>
        <v>5</v>
      </c>
      <c r="I22" s="48">
        <f t="shared" si="1"/>
        <v>3</v>
      </c>
      <c r="J22" s="48">
        <f t="shared" si="1"/>
        <v>7</v>
      </c>
    </row>
    <row r="23" spans="1:10">
      <c r="A23" s="52"/>
      <c r="B23" s="52"/>
      <c r="C23" s="52"/>
      <c r="D23" s="52"/>
      <c r="E23" s="52"/>
      <c r="F23" s="52"/>
      <c r="G23" s="52"/>
      <c r="H23" s="52"/>
      <c r="I23" s="52"/>
      <c r="J23" s="52"/>
    </row>
    <row r="27" spans="1:10">
      <c r="D27" t="s">
        <v>44</v>
      </c>
    </row>
  </sheetData>
  <mergeCells count="6">
    <mergeCell ref="A1:J1"/>
    <mergeCell ref="A13:J13"/>
    <mergeCell ref="L2:O2"/>
    <mergeCell ref="Q2:T2"/>
    <mergeCell ref="L3:L4"/>
    <mergeCell ref="Q3:Q4"/>
  </mergeCells>
  <conditionalFormatting sqref="B10:J10">
    <cfRule type="cellIs" dxfId="1" priority="2" operator="greaterThan">
      <formula>0</formula>
    </cfRule>
  </conditionalFormatting>
  <conditionalFormatting sqref="B22:J22">
    <cfRule type="cellIs" dxfId="0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"/>
  <sheetViews>
    <sheetView showGridLines="0" workbookViewId="0">
      <selection activeCell="G12" sqref="G12"/>
    </sheetView>
  </sheetViews>
  <sheetFormatPr defaultRowHeight="15"/>
  <cols>
    <col min="1" max="1" width="8.5703125" customWidth="1"/>
    <col min="2" max="4" width="16" customWidth="1"/>
    <col min="5" max="5" width="3.28515625" customWidth="1"/>
    <col min="6" max="6" width="8.5703125" customWidth="1"/>
    <col min="7" max="9" width="16" customWidth="1"/>
  </cols>
  <sheetData>
    <row r="1" spans="1:9" ht="18" customHeight="1">
      <c r="A1" s="124" t="s">
        <v>56</v>
      </c>
      <c r="B1" s="124"/>
      <c r="C1" s="124"/>
      <c r="D1" s="124"/>
      <c r="F1" s="124" t="s">
        <v>57</v>
      </c>
      <c r="G1" s="124"/>
      <c r="H1" s="124"/>
      <c r="I1" s="124"/>
    </row>
    <row r="2" spans="1:9" ht="18" customHeight="1">
      <c r="A2" s="125" t="s">
        <v>51</v>
      </c>
      <c r="B2" s="81" t="s">
        <v>50</v>
      </c>
      <c r="C2" s="81" t="s">
        <v>49</v>
      </c>
      <c r="D2" s="80" t="s">
        <v>48</v>
      </c>
      <c r="E2" s="84"/>
      <c r="F2" s="125" t="s">
        <v>51</v>
      </c>
      <c r="G2" s="81" t="s">
        <v>50</v>
      </c>
      <c r="H2" s="81" t="s">
        <v>49</v>
      </c>
      <c r="I2" s="80" t="s">
        <v>48</v>
      </c>
    </row>
    <row r="3" spans="1:9" ht="18" customHeight="1">
      <c r="A3" s="126"/>
      <c r="B3" s="80" t="s">
        <v>5</v>
      </c>
      <c r="C3" s="80" t="s">
        <v>5</v>
      </c>
      <c r="D3" s="80" t="s">
        <v>5</v>
      </c>
      <c r="E3" s="84"/>
      <c r="F3" s="126"/>
      <c r="G3" s="80" t="s">
        <v>5</v>
      </c>
      <c r="H3" s="80" t="s">
        <v>5</v>
      </c>
      <c r="I3" s="80" t="s">
        <v>5</v>
      </c>
    </row>
    <row r="4" spans="1:9" ht="18" customHeight="1">
      <c r="A4" s="83">
        <v>2025</v>
      </c>
      <c r="B4" s="79">
        <v>24</v>
      </c>
      <c r="C4" s="79">
        <v>0</v>
      </c>
      <c r="D4" s="79">
        <v>2</v>
      </c>
      <c r="E4" s="84"/>
      <c r="F4" s="83">
        <v>2025</v>
      </c>
      <c r="G4" s="79">
        <v>44</v>
      </c>
      <c r="H4" s="79">
        <v>0</v>
      </c>
      <c r="I4" s="79">
        <v>0</v>
      </c>
    </row>
    <row r="5" spans="1:9" ht="15.75" customHeight="1">
      <c r="A5" s="83">
        <v>2023</v>
      </c>
      <c r="B5" s="79">
        <v>8</v>
      </c>
      <c r="C5" s="79">
        <v>0</v>
      </c>
      <c r="D5" s="79">
        <v>0</v>
      </c>
      <c r="E5" s="84"/>
      <c r="F5" s="83">
        <v>2023</v>
      </c>
      <c r="G5" s="80">
        <v>2</v>
      </c>
      <c r="H5" s="79">
        <v>0</v>
      </c>
      <c r="I5" s="79">
        <v>0</v>
      </c>
    </row>
    <row r="6" spans="1:9" ht="15.75" customHeight="1">
      <c r="A6" s="80">
        <v>2021</v>
      </c>
      <c r="B6" s="79">
        <v>4</v>
      </c>
      <c r="C6" s="79">
        <v>0</v>
      </c>
      <c r="D6" s="79">
        <v>0</v>
      </c>
      <c r="E6" s="84"/>
      <c r="F6" s="80">
        <v>2021</v>
      </c>
      <c r="G6" s="80">
        <v>3</v>
      </c>
      <c r="H6" s="79">
        <v>0</v>
      </c>
      <c r="I6" s="79">
        <v>0</v>
      </c>
    </row>
    <row r="7" spans="1:9" ht="15.75" customHeight="1">
      <c r="A7" s="80">
        <v>2020</v>
      </c>
      <c r="B7" s="79">
        <v>12</v>
      </c>
      <c r="C7" s="79">
        <v>0</v>
      </c>
      <c r="D7" s="79">
        <v>0</v>
      </c>
      <c r="E7" s="84"/>
      <c r="F7" s="80">
        <v>2020</v>
      </c>
      <c r="G7" s="80">
        <v>4</v>
      </c>
      <c r="H7" s="79">
        <v>0</v>
      </c>
      <c r="I7" s="79">
        <v>0</v>
      </c>
    </row>
    <row r="8" spans="1:9" ht="15.75" customHeight="1">
      <c r="A8" s="80">
        <v>2019</v>
      </c>
      <c r="B8" s="79">
        <v>10</v>
      </c>
      <c r="C8" s="79">
        <v>0</v>
      </c>
      <c r="D8" s="79">
        <v>0</v>
      </c>
      <c r="E8" s="84"/>
      <c r="F8" s="80">
        <v>2019</v>
      </c>
      <c r="G8" s="80">
        <v>2</v>
      </c>
      <c r="H8" s="79">
        <v>0</v>
      </c>
      <c r="I8" s="79">
        <v>0</v>
      </c>
    </row>
    <row r="9" spans="1:9" ht="15.75" customHeight="1">
      <c r="A9" s="80">
        <v>2018</v>
      </c>
      <c r="B9" s="79">
        <v>1</v>
      </c>
      <c r="C9" s="79">
        <v>0</v>
      </c>
      <c r="D9" s="79">
        <v>0</v>
      </c>
      <c r="E9" s="84"/>
      <c r="F9" s="80">
        <v>2018</v>
      </c>
      <c r="G9" s="80" t="s">
        <v>59</v>
      </c>
      <c r="H9" s="79">
        <v>0</v>
      </c>
      <c r="I9" s="79">
        <v>0</v>
      </c>
    </row>
    <row r="10" spans="1:9" ht="15.75" customHeight="1">
      <c r="A10" s="80">
        <v>2017</v>
      </c>
      <c r="B10" s="79">
        <v>0</v>
      </c>
      <c r="C10" s="79">
        <v>0</v>
      </c>
      <c r="D10" s="79">
        <v>0</v>
      </c>
      <c r="E10" s="84"/>
      <c r="F10" s="80">
        <v>2017</v>
      </c>
      <c r="G10" s="80" t="s">
        <v>59</v>
      </c>
      <c r="H10" s="79">
        <v>0</v>
      </c>
      <c r="I10" s="79">
        <v>0</v>
      </c>
    </row>
    <row r="11" spans="1:9" ht="15.75" customHeight="1">
      <c r="A11" s="80">
        <v>2016</v>
      </c>
      <c r="B11" s="79">
        <v>1</v>
      </c>
      <c r="C11" s="79">
        <v>0</v>
      </c>
      <c r="D11" s="79">
        <v>0</v>
      </c>
      <c r="E11" s="84"/>
      <c r="F11" s="80">
        <v>2016</v>
      </c>
      <c r="G11" s="80">
        <v>3</v>
      </c>
      <c r="H11" s="79">
        <v>0</v>
      </c>
      <c r="I11" s="79">
        <v>0</v>
      </c>
    </row>
    <row r="12" spans="1:9" ht="16.5">
      <c r="A12" s="85" t="s">
        <v>47</v>
      </c>
      <c r="B12" s="78">
        <f>SUM(B4:B11)</f>
        <v>60</v>
      </c>
      <c r="C12" s="78">
        <f t="shared" ref="C12:D12" si="0">SUM(C4:C11)</f>
        <v>0</v>
      </c>
      <c r="D12" s="78">
        <f t="shared" si="0"/>
        <v>2</v>
      </c>
      <c r="E12" s="84"/>
      <c r="F12" s="85" t="s">
        <v>47</v>
      </c>
      <c r="G12" s="78">
        <f>SUM(G4:G11)</f>
        <v>58</v>
      </c>
      <c r="H12" s="78">
        <f t="shared" ref="H12:I12" si="1">SUM(H4:H11)</f>
        <v>0</v>
      </c>
      <c r="I12" s="78">
        <f t="shared" si="1"/>
        <v>0</v>
      </c>
    </row>
  </sheetData>
  <mergeCells count="4">
    <mergeCell ref="A2:A3"/>
    <mergeCell ref="F2:F3"/>
    <mergeCell ref="A1:D1"/>
    <mergeCell ref="F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New Format</vt:lpstr>
      <vt:lpstr>REEFER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Sinokor Msoffice</cp:lastModifiedBy>
  <cp:lastPrinted>2024-09-09T03:49:07Z</cp:lastPrinted>
  <dcterms:created xsi:type="dcterms:W3CDTF">2017-07-14T08:45:38Z</dcterms:created>
  <dcterms:modified xsi:type="dcterms:W3CDTF">2026-09-25T04:49:49Z</dcterms:modified>
</cp:coreProperties>
</file>
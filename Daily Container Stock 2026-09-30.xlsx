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เดสก์ท็อป\desktop jame\UCL 20221206\STOCK\"/>
    </mc:Choice>
  </mc:AlternateContent>
  <xr:revisionPtr revIDLastSave="0" documentId="8_{809C2BCA-011F-478B-859D-64D405B1F9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B12" i="5"/>
  <c r="AI15" i="2"/>
  <c r="M9" i="3"/>
  <c r="R9" i="3"/>
  <c r="T9" i="3"/>
  <c r="S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<sst xmlns="http://schemas.openxmlformats.org/spreadsheetml/2006/main" count="336" uniqueCount="65">
  <si>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</si>
  <si>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</si>
  <si>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</si>
  <si>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</si>
  <si>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</si>
  <si>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</si>
  <si>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</si>
  <si>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</si>
  <si>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</si>
  <si>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</si>
  <si>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</si>
  <si>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</si>
  <si>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</si>
  <si>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</si>
  <si>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</si>
  <si>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</si>
  <si>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</si>
  <si>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</si>
  <si>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</si>
  <si>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</si>
  <si>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</si>
  <si>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</si>
  <si>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</si>
  <si>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</si>
  <si>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</si>
  <si>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</si>
  <si>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</si>
  <si>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</si>
  <si>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</si>
  <si>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</si>
  <si>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</si>
  <si>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</si>
  <si>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</si>
  <si>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</si>
  <si>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</si>
  <si>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</si>
  <si>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</si>
  <si>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</si>
  <si>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</si>
  <si>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</si>
  <si>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</si>
  <si>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</si>
  <si>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</si>
  <si>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</si>
  <si>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</si>
  <si>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</si>
  <si>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</si>
  <si>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</si>
  <si>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</si>
  <si>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</si>
  <si>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</si>
  <si>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</si>
  <si>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</si>
  <si>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</si>
  <si>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</si>
  <si>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</si>
  <si>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</si>
  <si>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</si>
  <si>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</si>
  <si>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</si>
  <si>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05-11/10/2026</t>
  </si>
  <si>
    <t>Booking (05-11/10)2026</t>
  </si>
  <si>
    <t>30/09/2026</t>
  </si>
  <si>
    <t>30-04/10/2026</t>
  </si>
  <si>
    <t>Booking (30-04/10)2026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</si>
</sst>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AQ30" sqref="AQ30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112" t="s">
        <v>62</v>
      </c>
      <c r="AM1" s="113"/>
      <c r="AN1" s="113"/>
      <c r="AO1" s="113"/>
    </row>
    <row r="2" spans="1:41" s="3" customFormat="1" ht="16.899999999999999" customHeight="1">
      <c r="A2" s="98" t="s">
        <v>0</v>
      </c>
      <c r="B2" s="99"/>
      <c r="C2" s="114" t="s">
        <v>16</v>
      </c>
      <c r="D2" s="114"/>
      <c r="E2" s="114"/>
      <c r="F2" s="114"/>
      <c r="G2" s="114"/>
      <c r="H2" s="114"/>
      <c r="I2" s="114"/>
      <c r="J2" s="114"/>
      <c r="K2" s="115"/>
      <c r="L2" s="105" t="s">
        <v>35</v>
      </c>
      <c r="M2" s="103"/>
      <c r="N2" s="103"/>
      <c r="O2" s="103"/>
      <c r="P2" s="103"/>
      <c r="Q2" s="106"/>
      <c r="R2" s="102" t="str">
        <f>AL1</f>
        <v>30/09/2026</v>
      </c>
      <c r="S2" s="103"/>
      <c r="T2" s="104"/>
      <c r="V2" s="98" t="s">
        <v>0</v>
      </c>
      <c r="W2" s="99"/>
      <c r="X2" s="114" t="s">
        <v>17</v>
      </c>
      <c r="Y2" s="114"/>
      <c r="Z2" s="114"/>
      <c r="AA2" s="114"/>
      <c r="AB2" s="114"/>
      <c r="AC2" s="114"/>
      <c r="AD2" s="114"/>
      <c r="AE2" s="114"/>
      <c r="AF2" s="115"/>
      <c r="AG2" s="105" t="s">
        <v>35</v>
      </c>
      <c r="AH2" s="103"/>
      <c r="AI2" s="103"/>
      <c r="AJ2" s="103"/>
      <c r="AK2" s="103"/>
      <c r="AL2" s="106"/>
      <c r="AM2" s="102" t="str">
        <f>R2</f>
        <v>30/09/2026</v>
      </c>
      <c r="AN2" s="103"/>
      <c r="AO2" s="104"/>
    </row>
    <row r="3" spans="1:41" ht="16.149999999999999" customHeight="1">
      <c r="A3" s="100"/>
      <c r="B3" s="101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100"/>
      <c r="W3" s="101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143</v>
      </c>
      <c r="D4" s="54">
        <v>0</v>
      </c>
      <c r="E4" s="54">
        <v>97</v>
      </c>
      <c r="F4" s="54">
        <v>3</v>
      </c>
      <c r="G4" s="54">
        <v>6</v>
      </c>
      <c r="H4" s="54">
        <v>0</v>
      </c>
      <c r="I4" s="54">
        <v>0</v>
      </c>
      <c r="J4" s="54">
        <v>0</v>
      </c>
      <c r="K4" s="55">
        <v>0</v>
      </c>
      <c r="L4" s="62">
        <v>77</v>
      </c>
      <c r="M4" s="63">
        <v>0</v>
      </c>
      <c r="N4" s="63">
        <v>73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4">
        <v>0</v>
      </c>
      <c r="V4" s="8" t="s">
        <v>28</v>
      </c>
      <c r="W4" s="7" t="s">
        <v>21</v>
      </c>
      <c r="X4" s="56">
        <v>126</v>
      </c>
      <c r="Y4" s="56">
        <v>0</v>
      </c>
      <c r="Z4" s="56">
        <v>151</v>
      </c>
      <c r="AA4" s="56">
        <v>0</v>
      </c>
      <c r="AB4" s="56">
        <v>1</v>
      </c>
      <c r="AC4" s="56">
        <v>0</v>
      </c>
      <c r="AD4" s="56"/>
      <c r="AE4" s="56"/>
      <c r="AF4" s="66"/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78</v>
      </c>
      <c r="D5" s="54">
        <v>0</v>
      </c>
      <c r="E5" s="54">
        <v>19</v>
      </c>
      <c r="F5" s="54">
        <v>2</v>
      </c>
      <c r="G5" s="54">
        <v>1</v>
      </c>
      <c r="H5" s="54">
        <v>0</v>
      </c>
      <c r="I5" s="54">
        <v>0</v>
      </c>
      <c r="J5" s="54">
        <v>0</v>
      </c>
      <c r="K5" s="55">
        <v>0</v>
      </c>
      <c r="L5" s="62">
        <v>16</v>
      </c>
      <c r="M5" s="63">
        <v>0</v>
      </c>
      <c r="N5" s="63">
        <v>94</v>
      </c>
      <c r="O5" s="63">
        <v>0</v>
      </c>
      <c r="P5" s="63">
        <v>0</v>
      </c>
      <c r="Q5" s="63">
        <v>0</v>
      </c>
      <c r="R5" s="63">
        <v>0</v>
      </c>
      <c r="S5" s="63">
        <v>0</v>
      </c>
      <c r="T5" s="64">
        <v>0</v>
      </c>
      <c r="V5" s="8" t="s">
        <v>55</v>
      </c>
      <c r="W5" s="7" t="s">
        <v>21</v>
      </c>
      <c r="X5" s="54">
        <v>28</v>
      </c>
      <c r="Y5" s="54">
        <v>0</v>
      </c>
      <c r="Z5" s="54">
        <v>129</v>
      </c>
      <c r="AA5" s="56">
        <v>0</v>
      </c>
      <c r="AB5" s="56">
        <v>0</v>
      </c>
      <c r="AC5" s="56">
        <v>0</v>
      </c>
      <c r="AD5" s="56"/>
      <c r="AE5" s="56"/>
      <c r="AF5" s="66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/>
      <c r="N6" s="63"/>
      <c r="O6" s="63"/>
      <c r="P6" s="63"/>
      <c r="Q6" s="63"/>
      <c r="R6" s="63"/>
      <c r="S6" s="63"/>
      <c r="T6" s="64"/>
      <c r="V6" s="90"/>
      <c r="W6" s="7" t="s">
        <v>21</v>
      </c>
      <c r="X6" s="54">
        <v>0</v>
      </c>
      <c r="Y6" s="54">
        <v>0</v>
      </c>
      <c r="Z6" s="54">
        <v>0</v>
      </c>
      <c r="AA6" s="56">
        <v>0</v>
      </c>
      <c r="AB6" s="56">
        <v>0</v>
      </c>
      <c r="AC6" s="56">
        <v>0</v>
      </c>
      <c r="AD6" s="56"/>
      <c r="AE6" s="56"/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224</v>
      </c>
      <c r="M7" s="63">
        <v>0</v>
      </c>
      <c r="N7" s="63">
        <v>238</v>
      </c>
      <c r="O7" s="63">
        <v>0</v>
      </c>
      <c r="P7" s="63">
        <v>0</v>
      </c>
      <c r="Q7" s="63">
        <v>0</v>
      </c>
      <c r="R7" s="63">
        <v>0</v>
      </c>
      <c r="S7" s="63">
        <v>0</v>
      </c>
      <c r="T7" s="64">
        <v>0</v>
      </c>
      <c r="V7" s="8" t="s">
        <v>27</v>
      </c>
      <c r="W7" s="7" t="s">
        <v>21</v>
      </c>
      <c r="X7" s="56">
        <v>33</v>
      </c>
      <c r="Y7" s="56">
        <v>0</v>
      </c>
      <c r="Z7" s="56">
        <v>37</v>
      </c>
      <c r="AA7" s="56">
        <v>0</v>
      </c>
      <c r="AB7" s="56">
        <v>0</v>
      </c>
      <c r="AC7" s="56">
        <v>0</v>
      </c>
      <c r="AD7" s="56"/>
      <c r="AE7" s="56"/>
      <c r="AF7" s="66"/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1338</v>
      </c>
      <c r="M8" s="63">
        <v>1</v>
      </c>
      <c r="N8" s="67">
        <v>848</v>
      </c>
      <c r="O8" s="63">
        <v>39</v>
      </c>
      <c r="P8" s="63">
        <v>61</v>
      </c>
      <c r="Q8" s="63">
        <v>0</v>
      </c>
      <c r="R8" s="63">
        <v>0</v>
      </c>
      <c r="S8" s="63">
        <v>0</v>
      </c>
      <c r="T8" s="64">
        <v>2</v>
      </c>
      <c r="V8" s="8" t="s">
        <v>29</v>
      </c>
      <c r="W8" s="7" t="s">
        <v>21</v>
      </c>
      <c r="X8" s="54">
        <v>14</v>
      </c>
      <c r="Y8" s="54">
        <v>0</v>
      </c>
      <c r="Z8" s="54">
        <v>16</v>
      </c>
      <c r="AA8" s="56">
        <v>0</v>
      </c>
      <c r="AB8" s="56">
        <v>3</v>
      </c>
      <c r="AC8" s="56">
        <v>0</v>
      </c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0</v>
      </c>
      <c r="D9" s="54"/>
      <c r="E9" s="54"/>
      <c r="F9" s="56">
        <v>0</v>
      </c>
      <c r="G9" s="56">
        <v>0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1315</v>
      </c>
      <c r="AH9" s="63">
        <v>0</v>
      </c>
      <c r="AI9" s="63">
        <v>924</v>
      </c>
      <c r="AJ9" s="63">
        <v>8</v>
      </c>
      <c r="AK9" s="63">
        <v>83</v>
      </c>
      <c r="AL9" s="63">
        <v>0</v>
      </c>
      <c r="AM9" s="63">
        <v>5</v>
      </c>
      <c r="AN9" s="63">
        <v>2</v>
      </c>
      <c r="AO9" s="64">
        <v>7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201</v>
      </c>
      <c r="AH10" s="63"/>
      <c r="AI10" s="63">
        <v>207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/>
      <c r="D11" s="56"/>
      <c r="E11" s="56">
        <v>1</v>
      </c>
      <c r="F11" s="56"/>
      <c r="G11" s="56">
        <v>5</v>
      </c>
      <c r="H11" s="56"/>
      <c r="I11" s="56"/>
      <c r="J11" s="56"/>
      <c r="K11" s="66"/>
      <c r="L11" s="62">
        <v>22</v>
      </c>
      <c r="M11" s="63"/>
      <c r="N11" s="63">
        <v>7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455</v>
      </c>
      <c r="AH11" s="63">
        <v>0</v>
      </c>
      <c r="AI11" s="63">
        <v>256</v>
      </c>
      <c r="AJ11" s="63">
        <v>0</v>
      </c>
      <c r="AK11" s="63">
        <v>0</v>
      </c>
      <c r="AL11" s="63">
        <v>0</v>
      </c>
      <c r="AM11" s="63">
        <v>0</v>
      </c>
      <c r="AN11" s="63">
        <v>1</v>
      </c>
      <c r="AO11" s="64">
        <v>0</v>
      </c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1</v>
      </c>
      <c r="Y12" s="56"/>
      <c r="Z12" s="56"/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>
        <v>112</v>
      </c>
      <c r="AH14" s="10"/>
      <c r="AI14" s="10">
        <v>4</v>
      </c>
      <c r="AJ14" s="10"/>
      <c r="AK14" s="10"/>
      <c r="AL14" s="31"/>
      <c r="AM14" s="31"/>
      <c r="AN14" s="31"/>
      <c r="AO14" s="20"/>
    </row>
    <row r="15" spans="1:41" ht="21" customHeight="1" thickBot="1">
      <c r="A15" s="96" t="s">
        <v>12</v>
      </c>
      <c r="B15" s="97"/>
      <c r="C15" s="56">
        <f t="shared" ref="C15:T15" si="0">SUM(C4:C14)</f>
        <v>221</v>
      </c>
      <c r="D15" s="56">
        <f t="shared" si="0"/>
        <v>0</v>
      </c>
      <c r="E15" s="56">
        <f t="shared" si="0"/>
        <v>117</v>
      </c>
      <c r="F15" s="56">
        <f t="shared" si="0"/>
        <v>5</v>
      </c>
      <c r="G15" s="56">
        <f t="shared" si="0"/>
        <v>12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74">
        <f t="shared" si="0"/>
        <v>1677</v>
      </c>
      <c r="M15" s="75">
        <f t="shared" si="0"/>
        <v>1</v>
      </c>
      <c r="N15" s="75">
        <f t="shared" si="0"/>
        <v>1260</v>
      </c>
      <c r="O15" s="75">
        <f t="shared" si="0"/>
        <v>39</v>
      </c>
      <c r="P15" s="75">
        <f t="shared" si="0"/>
        <v>61</v>
      </c>
      <c r="Q15" s="75">
        <f t="shared" si="0"/>
        <v>0</v>
      </c>
      <c r="R15" s="75">
        <f t="shared" si="0"/>
        <v>0</v>
      </c>
      <c r="S15" s="75">
        <f t="shared" si="0"/>
        <v>0</v>
      </c>
      <c r="T15" s="76">
        <f t="shared" si="0"/>
        <v>2</v>
      </c>
      <c r="V15" s="96" t="s">
        <v>13</v>
      </c>
      <c r="W15" s="97"/>
      <c r="X15" s="56">
        <f t="shared" ref="X15:AO15" si="1">SUM(X4:X14)</f>
        <v>202</v>
      </c>
      <c r="Y15" s="56">
        <f t="shared" si="1"/>
        <v>0</v>
      </c>
      <c r="Z15" s="56">
        <f t="shared" si="1"/>
        <v>333</v>
      </c>
      <c r="AA15" s="8">
        <f t="shared" si="1"/>
        <v>0</v>
      </c>
      <c r="AB15" s="56">
        <f t="shared" si="1"/>
        <v>4</v>
      </c>
      <c r="AC15" s="8">
        <f t="shared" si="1"/>
        <v>0</v>
      </c>
      <c r="AD15" s="8">
        <f t="shared" si="1"/>
        <v>0</v>
      </c>
      <c r="AE15" s="8">
        <f t="shared" si="1"/>
        <v>0</v>
      </c>
      <c r="AF15" s="34">
        <f t="shared" si="1"/>
        <v>0</v>
      </c>
      <c r="AG15" s="38">
        <f t="shared" si="1"/>
        <v>2083</v>
      </c>
      <c r="AH15" s="24">
        <f t="shared" si="1"/>
        <v>0</v>
      </c>
      <c r="AI15" s="24">
        <f>SUM(AI4:AI14)</f>
        <v>1391</v>
      </c>
      <c r="AJ15" s="24">
        <f t="shared" si="1"/>
        <v>8</v>
      </c>
      <c r="AK15" s="24">
        <f t="shared" si="1"/>
        <v>83</v>
      </c>
      <c r="AL15" s="24">
        <f t="shared" si="1"/>
        <v>0</v>
      </c>
      <c r="AM15" s="24">
        <f t="shared" si="1"/>
        <v>5</v>
      </c>
      <c r="AN15" s="24">
        <f t="shared" si="1"/>
        <v>3</v>
      </c>
      <c r="AO15" s="25">
        <f t="shared" si="1"/>
        <v>7</v>
      </c>
    </row>
    <row r="16" spans="1:41" ht="16.350000000000001" hidden="1" customHeight="1"/>
    <row r="17" spans="1:41" ht="16.350000000000001" hidden="1" customHeight="1">
      <c r="A17" s="116" t="s">
        <v>0</v>
      </c>
      <c r="B17" s="12"/>
      <c r="C17" s="118"/>
      <c r="D17" s="118"/>
      <c r="E17" s="118"/>
      <c r="F17" s="118"/>
      <c r="G17" s="118"/>
      <c r="H17" s="118"/>
      <c r="I17" s="118"/>
      <c r="J17" s="118"/>
      <c r="K17" s="118"/>
      <c r="L17" s="119" t="s">
        <v>14</v>
      </c>
      <c r="M17" s="119"/>
      <c r="N17" s="119"/>
      <c r="O17" s="119"/>
      <c r="P17" s="119"/>
      <c r="Q17" s="119"/>
      <c r="R17" s="119"/>
      <c r="S17" s="119"/>
      <c r="T17" s="120"/>
      <c r="V17" s="116" t="s">
        <v>0</v>
      </c>
      <c r="W17" s="12"/>
      <c r="X17" s="118"/>
      <c r="Y17" s="118"/>
      <c r="Z17" s="118"/>
      <c r="AA17" s="118"/>
      <c r="AB17" s="118"/>
      <c r="AC17" s="118"/>
      <c r="AD17" s="118"/>
      <c r="AE17" s="118"/>
      <c r="AF17" s="118"/>
      <c r="AG17" s="119" t="s">
        <v>14</v>
      </c>
      <c r="AH17" s="119"/>
      <c r="AI17" s="119"/>
      <c r="AJ17" s="119"/>
      <c r="AK17" s="119"/>
      <c r="AL17" s="119"/>
      <c r="AM17" s="119"/>
      <c r="AN17" s="119"/>
      <c r="AO17" s="120"/>
    </row>
    <row r="18" spans="1:41" ht="16.350000000000001" hidden="1" customHeight="1">
      <c r="A18" s="117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17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8" t="s">
        <v>0</v>
      </c>
      <c r="B29" s="99"/>
      <c r="C29" s="93" t="s">
        <v>45</v>
      </c>
      <c r="D29" s="94"/>
      <c r="E29" s="94"/>
      <c r="F29" s="94"/>
      <c r="G29" s="94"/>
      <c r="H29" s="95"/>
      <c r="I29" s="29" t="s">
        <v>63</v>
      </c>
      <c r="J29" s="30"/>
      <c r="K29" s="30"/>
      <c r="L29" s="109" t="s">
        <v>14</v>
      </c>
      <c r="M29" s="110"/>
      <c r="N29" s="110"/>
      <c r="O29" s="110"/>
      <c r="P29" s="110"/>
      <c r="Q29" s="110"/>
      <c r="R29" s="110"/>
      <c r="S29" s="110"/>
      <c r="T29" s="111"/>
      <c r="V29" s="98" t="s">
        <v>0</v>
      </c>
      <c r="W29" s="99"/>
      <c r="X29" s="93" t="str">
        <f>C29</f>
        <v>BOOKING W 1</v>
      </c>
      <c r="Y29" s="94"/>
      <c r="Z29" s="94"/>
      <c r="AA29" s="94"/>
      <c r="AB29" s="94"/>
      <c r="AC29" s="95"/>
      <c r="AD29" s="72" t="str">
        <f>I29</f>
        <v>30-04/10/2026</v>
      </c>
      <c r="AE29" s="73"/>
      <c r="AF29" s="73"/>
      <c r="AG29" s="109" t="s">
        <v>14</v>
      </c>
      <c r="AH29" s="110"/>
      <c r="AI29" s="110"/>
      <c r="AJ29" s="110"/>
      <c r="AK29" s="110"/>
      <c r="AL29" s="110"/>
      <c r="AM29" s="110"/>
      <c r="AN29" s="110"/>
      <c r="AO29" s="111"/>
    </row>
    <row r="30" spans="1:41" ht="16.149999999999999" customHeight="1">
      <c r="A30" s="100"/>
      <c r="B30" s="101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100"/>
      <c r="W30" s="101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32</v>
      </c>
      <c r="D31" s="56">
        <v>0</v>
      </c>
      <c r="E31" s="56">
        <v>27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45</v>
      </c>
      <c r="M31" s="63">
        <f t="shared" si="2"/>
        <v>0</v>
      </c>
      <c r="N31" s="63">
        <f t="shared" si="2"/>
        <v>46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1</v>
      </c>
      <c r="D32" s="54">
        <v>0</v>
      </c>
      <c r="E32" s="54">
        <v>1</v>
      </c>
      <c r="F32" s="54">
        <v>0</v>
      </c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15</v>
      </c>
      <c r="M32" s="63">
        <f t="shared" si="2"/>
        <v>0</v>
      </c>
      <c r="N32" s="63">
        <f t="shared" si="2"/>
        <v>93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43</v>
      </c>
      <c r="D34" s="54">
        <v>0</v>
      </c>
      <c r="E34" s="54">
        <v>37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181</v>
      </c>
      <c r="M34" s="63">
        <f>SUM(M7-D34)</f>
        <v>0</v>
      </c>
      <c r="N34" s="63">
        <f t="shared" si="4"/>
        <v>201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165</v>
      </c>
      <c r="D35" s="54">
        <v>0</v>
      </c>
      <c r="E35" s="54">
        <v>102</v>
      </c>
      <c r="F35" s="54">
        <v>2</v>
      </c>
      <c r="G35" s="54">
        <v>13</v>
      </c>
      <c r="H35" s="54"/>
      <c r="I35" s="54"/>
      <c r="J35" s="54"/>
      <c r="K35" s="54"/>
      <c r="L35" s="62">
        <f>SUM(L8-C35)</f>
        <v>1173</v>
      </c>
      <c r="M35" s="63">
        <f>SUM(M8-D35)</f>
        <v>1</v>
      </c>
      <c r="N35" s="63">
        <f t="shared" si="4"/>
        <v>746</v>
      </c>
      <c r="O35" s="63">
        <f t="shared" si="4"/>
        <v>37</v>
      </c>
      <c r="P35" s="63">
        <f t="shared" si="4"/>
        <v>48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4">
        <f t="shared" si="4"/>
        <v>2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83</v>
      </c>
      <c r="Y36" s="54">
        <v>0</v>
      </c>
      <c r="Z36" s="54">
        <v>124</v>
      </c>
      <c r="AA36" s="54">
        <v>2</v>
      </c>
      <c r="AB36" s="54">
        <v>28</v>
      </c>
      <c r="AC36" s="54"/>
      <c r="AD36" s="54"/>
      <c r="AE36" s="54"/>
      <c r="AF36" s="54"/>
      <c r="AG36" s="62">
        <f t="shared" ref="AG36:AO36" si="6">SUM(AG9-X36)</f>
        <v>1232</v>
      </c>
      <c r="AH36" s="63">
        <f t="shared" si="6"/>
        <v>0</v>
      </c>
      <c r="AI36" s="63">
        <f t="shared" si="6"/>
        <v>800</v>
      </c>
      <c r="AJ36" s="63">
        <f t="shared" si="6"/>
        <v>6</v>
      </c>
      <c r="AK36" s="63">
        <f t="shared" si="6"/>
        <v>55</v>
      </c>
      <c r="AL36" s="63">
        <f t="shared" si="6"/>
        <v>0</v>
      </c>
      <c r="AM36" s="63">
        <f t="shared" si="6"/>
        <v>5</v>
      </c>
      <c r="AN36" s="63">
        <f t="shared" si="6"/>
        <v>2</v>
      </c>
      <c r="AO36" s="64">
        <f t="shared" si="6"/>
        <v>7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31</v>
      </c>
      <c r="Y37" s="54">
        <v>0</v>
      </c>
      <c r="Z37" s="54">
        <v>15</v>
      </c>
      <c r="AA37" s="54">
        <v>0</v>
      </c>
      <c r="AB37" s="54">
        <v>0</v>
      </c>
      <c r="AC37" s="54"/>
      <c r="AD37" s="54">
        <v>0</v>
      </c>
      <c r="AE37" s="54"/>
      <c r="AF37" s="54"/>
      <c r="AG37" s="62">
        <f>SUM(AG10-X37)</f>
        <v>170</v>
      </c>
      <c r="AH37" s="63">
        <f t="shared" ref="AG37:AO40" si="9">SUM(AH10-Y37)</f>
        <v>0</v>
      </c>
      <c r="AI37" s="63">
        <f>SUM(AI10-Z37)</f>
        <v>192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/>
      <c r="D38" s="6"/>
      <c r="E38" s="6"/>
      <c r="F38" s="6"/>
      <c r="G38" s="6"/>
      <c r="H38" s="6"/>
      <c r="I38" s="6"/>
      <c r="J38" s="6"/>
      <c r="K38" s="33"/>
      <c r="L38" s="62">
        <f t="shared" si="7"/>
        <v>22</v>
      </c>
      <c r="M38" s="63">
        <f t="shared" si="8"/>
        <v>0</v>
      </c>
      <c r="N38" s="63">
        <f t="shared" si="8"/>
        <v>7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153</v>
      </c>
      <c r="Y38" s="54">
        <v>0</v>
      </c>
      <c r="Z38" s="54">
        <v>5</v>
      </c>
      <c r="AA38" s="54">
        <v>0</v>
      </c>
      <c r="AB38" s="54">
        <v>0</v>
      </c>
      <c r="AC38" s="54"/>
      <c r="AD38" s="54"/>
      <c r="AE38" s="54"/>
      <c r="AF38" s="54"/>
      <c r="AG38" s="62">
        <f>SUM(AG11-X38)</f>
        <v>302</v>
      </c>
      <c r="AH38" s="63">
        <f t="shared" si="9"/>
        <v>0</v>
      </c>
      <c r="AI38" s="63">
        <f t="shared" si="9"/>
        <v>251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1</v>
      </c>
      <c r="AO38" s="64">
        <f t="shared" si="9"/>
        <v>0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6" t="s">
        <v>12</v>
      </c>
      <c r="B41" s="97"/>
      <c r="C41" s="54">
        <f>SUM(C31:C40)</f>
        <v>241</v>
      </c>
      <c r="D41" s="54">
        <f t="shared" ref="D41:K41" si="11">SUM(D31:D40)</f>
        <v>0</v>
      </c>
      <c r="E41" s="54">
        <f t="shared" si="11"/>
        <v>167</v>
      </c>
      <c r="F41" s="54">
        <f t="shared" si="11"/>
        <v>2</v>
      </c>
      <c r="G41" s="54">
        <f t="shared" si="11"/>
        <v>13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1436</v>
      </c>
      <c r="M41" s="24">
        <f>SUM(M31:M40)</f>
        <v>1</v>
      </c>
      <c r="N41" s="75">
        <f>SUM(N31:N40)</f>
        <v>1093</v>
      </c>
      <c r="O41" s="24">
        <f t="shared" ref="O41:S41" si="12">SUM(O31:O40)</f>
        <v>37</v>
      </c>
      <c r="P41" s="24">
        <f t="shared" si="12"/>
        <v>48</v>
      </c>
      <c r="Q41" s="24">
        <f t="shared" si="12"/>
        <v>0</v>
      </c>
      <c r="R41" s="24">
        <f t="shared" si="12"/>
        <v>0</v>
      </c>
      <c r="S41" s="24">
        <f t="shared" si="12"/>
        <v>0</v>
      </c>
      <c r="T41" s="25">
        <f>SUM(T31:T40)</f>
        <v>2</v>
      </c>
      <c r="V41" s="96" t="s">
        <v>13</v>
      </c>
      <c r="W41" s="97"/>
      <c r="X41" s="6">
        <f t="shared" ref="X41:AF41" si="13">SUM(X31:X40)</f>
        <v>267</v>
      </c>
      <c r="Y41" s="6">
        <f t="shared" si="13"/>
        <v>0</v>
      </c>
      <c r="Z41" s="6">
        <f t="shared" si="13"/>
        <v>144</v>
      </c>
      <c r="AA41" s="6">
        <f t="shared" si="13"/>
        <v>2</v>
      </c>
      <c r="AB41" s="6">
        <f t="shared" si="13"/>
        <v>28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1704</v>
      </c>
      <c r="AH41" s="24">
        <f t="shared" si="14"/>
        <v>0</v>
      </c>
      <c r="AI41" s="24">
        <f t="shared" si="14"/>
        <v>1243</v>
      </c>
      <c r="AJ41" s="24">
        <f t="shared" si="14"/>
        <v>6</v>
      </c>
      <c r="AK41" s="24">
        <f t="shared" si="14"/>
        <v>55</v>
      </c>
      <c r="AL41" s="24">
        <f t="shared" si="14"/>
        <v>0</v>
      </c>
      <c r="AM41" s="24">
        <f t="shared" si="14"/>
        <v>5</v>
      </c>
      <c r="AN41" s="24">
        <f t="shared" si="14"/>
        <v>3</v>
      </c>
      <c r="AO41" s="25">
        <f>SUM(AO31:AO40)</f>
        <v>7</v>
      </c>
    </row>
    <row r="42" spans="1:45" ht="16.149999999999999" customHeight="1" thickBot="1"/>
    <row r="43" spans="1:45" ht="16.149999999999999" customHeight="1">
      <c r="A43" s="98" t="s">
        <v>0</v>
      </c>
      <c r="B43" s="99"/>
      <c r="C43" s="93" t="s">
        <v>46</v>
      </c>
      <c r="D43" s="94"/>
      <c r="E43" s="94"/>
      <c r="F43" s="94"/>
      <c r="G43" s="94"/>
      <c r="H43" s="95"/>
      <c r="I43" s="91" t="s">
        <v>60</v>
      </c>
      <c r="J43" s="92"/>
      <c r="K43" s="92"/>
      <c r="L43" s="109" t="s">
        <v>14</v>
      </c>
      <c r="M43" s="110"/>
      <c r="N43" s="110"/>
      <c r="O43" s="110"/>
      <c r="P43" s="110"/>
      <c r="Q43" s="110"/>
      <c r="R43" s="110"/>
      <c r="S43" s="110"/>
      <c r="T43" s="111"/>
      <c r="V43" s="98" t="s">
        <v>0</v>
      </c>
      <c r="W43" s="99"/>
      <c r="X43" s="93" t="str">
        <f>C43</f>
        <v>BOOKING W 2</v>
      </c>
      <c r="Y43" s="94"/>
      <c r="Z43" s="94"/>
      <c r="AA43" s="94"/>
      <c r="AB43" s="94"/>
      <c r="AC43" s="95"/>
      <c r="AD43" s="91" t="str">
        <f>I43</f>
        <v>05-11/10/2026</v>
      </c>
      <c r="AE43" s="92"/>
      <c r="AF43" s="92"/>
      <c r="AG43" s="109" t="s">
        <v>14</v>
      </c>
      <c r="AH43" s="110"/>
      <c r="AI43" s="110"/>
      <c r="AJ43" s="110"/>
      <c r="AK43" s="110"/>
      <c r="AL43" s="110"/>
      <c r="AM43" s="110"/>
      <c r="AN43" s="110"/>
      <c r="AO43" s="111"/>
    </row>
    <row r="44" spans="1:45" ht="16.149999999999999" customHeight="1">
      <c r="A44" s="100"/>
      <c r="B44" s="101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100"/>
      <c r="W44" s="101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63</v>
      </c>
      <c r="D45" s="54">
        <v>0</v>
      </c>
      <c r="E45" s="54">
        <v>26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-18</v>
      </c>
      <c r="M45" s="63">
        <f t="shared" ref="L45:T52" si="15">SUM(M31-D45)</f>
        <v>0</v>
      </c>
      <c r="N45" s="63">
        <f t="shared" si="15"/>
        <v>20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>
        <v>9</v>
      </c>
      <c r="D46" s="54">
        <v>0</v>
      </c>
      <c r="E46" s="54">
        <v>13</v>
      </c>
      <c r="F46" s="54">
        <v>0</v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6</v>
      </c>
      <c r="M46" s="63">
        <f t="shared" si="15"/>
        <v>0</v>
      </c>
      <c r="N46" s="63">
        <f t="shared" si="15"/>
        <v>80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61</v>
      </c>
      <c r="D48" s="54">
        <v>0</v>
      </c>
      <c r="E48" s="54">
        <v>43</v>
      </c>
      <c r="F48" s="54">
        <v>0</v>
      </c>
      <c r="G48" s="54">
        <v>0</v>
      </c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120</v>
      </c>
      <c r="M48" s="63">
        <f t="shared" si="15"/>
        <v>0</v>
      </c>
      <c r="N48" s="63">
        <f>SUM(N34-E48)</f>
        <v>158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344</v>
      </c>
      <c r="D49" s="54">
        <v>1</v>
      </c>
      <c r="E49" s="54">
        <v>168</v>
      </c>
      <c r="F49" s="54">
        <v>7</v>
      </c>
      <c r="G49" s="54">
        <v>16</v>
      </c>
      <c r="H49" s="54"/>
      <c r="I49" s="54"/>
      <c r="J49" s="54"/>
      <c r="K49" s="54"/>
      <c r="L49" s="62">
        <f t="shared" si="15"/>
        <v>829</v>
      </c>
      <c r="M49" s="63">
        <f t="shared" si="15"/>
        <v>0</v>
      </c>
      <c r="N49" s="63">
        <f>SUM(N35-E49)</f>
        <v>578</v>
      </c>
      <c r="O49" s="63">
        <f>SUM(O35-F49)</f>
        <v>30</v>
      </c>
      <c r="P49" s="63">
        <f>SUM(P35-G49)</f>
        <v>32</v>
      </c>
      <c r="Q49" s="63">
        <f t="shared" si="15"/>
        <v>0</v>
      </c>
      <c r="R49" s="63">
        <f t="shared" si="15"/>
        <v>0</v>
      </c>
      <c r="S49" s="63">
        <f t="shared" si="15"/>
        <v>0</v>
      </c>
      <c r="T49" s="64">
        <f t="shared" si="15"/>
        <v>2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221</v>
      </c>
      <c r="Y50" s="54">
        <v>0</v>
      </c>
      <c r="Z50" s="54">
        <v>222</v>
      </c>
      <c r="AA50" s="54">
        <v>4</v>
      </c>
      <c r="AB50" s="54">
        <v>37</v>
      </c>
      <c r="AC50" s="54"/>
      <c r="AD50" s="54"/>
      <c r="AE50" s="54"/>
      <c r="AF50" s="54"/>
      <c r="AG50" s="62">
        <f>SUM(AG36-X50)</f>
        <v>1011</v>
      </c>
      <c r="AH50" s="63">
        <f>SUM(AH36-Y50)</f>
        <v>0</v>
      </c>
      <c r="AI50" s="63">
        <f t="shared" si="16"/>
        <v>578</v>
      </c>
      <c r="AJ50" s="63">
        <f t="shared" si="16"/>
        <v>2</v>
      </c>
      <c r="AK50" s="63">
        <f t="shared" si="16"/>
        <v>18</v>
      </c>
      <c r="AL50" s="63">
        <f t="shared" si="16"/>
        <v>0</v>
      </c>
      <c r="AM50" s="63">
        <f t="shared" si="16"/>
        <v>5</v>
      </c>
      <c r="AN50" s="63">
        <f t="shared" si="16"/>
        <v>2</v>
      </c>
      <c r="AO50" s="64">
        <f t="shared" si="16"/>
        <v>7</v>
      </c>
    </row>
    <row r="51" spans="1:41" ht="16.149999999999999" customHeight="1">
      <c r="A51" s="88"/>
      <c r="B51" s="87"/>
      <c r="C51" s="54"/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61</v>
      </c>
      <c r="Y51" s="54"/>
      <c r="Z51" s="68"/>
      <c r="AA51" s="54"/>
      <c r="AB51" s="54"/>
      <c r="AC51" s="54"/>
      <c r="AD51" s="54"/>
      <c r="AE51" s="54"/>
      <c r="AF51" s="54"/>
      <c r="AG51" s="62">
        <f>SUM(AG37-X51)</f>
        <v>109</v>
      </c>
      <c r="AH51" s="63">
        <f t="shared" si="16"/>
        <v>0</v>
      </c>
      <c r="AI51" s="63">
        <f>SUM(AI37-Z51)</f>
        <v>192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/>
      <c r="D52" s="54"/>
      <c r="E52" s="54"/>
      <c r="F52" s="54"/>
      <c r="G52" s="54"/>
      <c r="H52" s="54"/>
      <c r="I52" s="54"/>
      <c r="J52" s="54"/>
      <c r="K52" s="55"/>
      <c r="L52" s="62">
        <f t="shared" si="15"/>
        <v>22</v>
      </c>
      <c r="M52" s="63">
        <f t="shared" si="15"/>
        <v>0</v>
      </c>
      <c r="N52" s="63">
        <f t="shared" si="15"/>
        <v>7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69</v>
      </c>
      <c r="Y52" s="54">
        <v>0</v>
      </c>
      <c r="Z52" s="54">
        <v>32</v>
      </c>
      <c r="AA52" s="54">
        <v>0</v>
      </c>
      <c r="AB52" s="54">
        <v>0</v>
      </c>
      <c r="AC52" s="54"/>
      <c r="AD52" s="54"/>
      <c r="AE52" s="54">
        <v>0</v>
      </c>
      <c r="AF52" s="54"/>
      <c r="AG52" s="62">
        <f>SUM(AG38-X52)</f>
        <v>233</v>
      </c>
      <c r="AH52" s="63">
        <f t="shared" si="16"/>
        <v>0</v>
      </c>
      <c r="AI52" s="63">
        <f>SUM(AI38-Z52)</f>
        <v>219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1</v>
      </c>
      <c r="AO52" s="64">
        <f t="shared" si="16"/>
        <v>0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6" t="s">
        <v>12</v>
      </c>
      <c r="B55" s="97"/>
      <c r="C55" s="6">
        <f t="shared" ref="C55:K55" si="18">SUM(C45:C54)</f>
        <v>477</v>
      </c>
      <c r="D55" s="6">
        <f t="shared" si="18"/>
        <v>1</v>
      </c>
      <c r="E55" s="6">
        <f t="shared" si="18"/>
        <v>250</v>
      </c>
      <c r="F55" s="6">
        <f t="shared" si="18"/>
        <v>7</v>
      </c>
      <c r="G55" s="6">
        <f t="shared" si="18"/>
        <v>16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959</v>
      </c>
      <c r="M55" s="24">
        <f>SUM(M45:M54)</f>
        <v>0</v>
      </c>
      <c r="N55" s="24">
        <f>SUM(N45:N54)</f>
        <v>843</v>
      </c>
      <c r="O55" s="24">
        <f t="shared" ref="O55:S55" si="19">SUM(O45:O54)</f>
        <v>30</v>
      </c>
      <c r="P55" s="24">
        <f t="shared" si="19"/>
        <v>32</v>
      </c>
      <c r="Q55" s="24">
        <f t="shared" si="19"/>
        <v>0</v>
      </c>
      <c r="R55" s="24">
        <f t="shared" si="19"/>
        <v>0</v>
      </c>
      <c r="S55" s="24">
        <f t="shared" si="19"/>
        <v>0</v>
      </c>
      <c r="T55" s="25">
        <f>SUM(T45:T54)</f>
        <v>2</v>
      </c>
      <c r="V55" s="96" t="s">
        <v>13</v>
      </c>
      <c r="W55" s="97"/>
      <c r="X55" s="6">
        <f t="shared" ref="X55:AF55" si="20">SUM(X45:X54)</f>
        <v>351</v>
      </c>
      <c r="Y55" s="6">
        <f t="shared" si="20"/>
        <v>0</v>
      </c>
      <c r="Z55" s="6">
        <f t="shared" si="20"/>
        <v>254</v>
      </c>
      <c r="AA55" s="6">
        <f t="shared" si="20"/>
        <v>4</v>
      </c>
      <c r="AB55" s="6">
        <f t="shared" si="20"/>
        <v>37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1353</v>
      </c>
      <c r="AH55" s="24">
        <f t="shared" ref="AH55:AO55" si="21">SUM(AH45:AH54)</f>
        <v>0</v>
      </c>
      <c r="AI55" s="24">
        <f t="shared" si="21"/>
        <v>989</v>
      </c>
      <c r="AJ55" s="24">
        <f t="shared" si="21"/>
        <v>2</v>
      </c>
      <c r="AK55" s="24">
        <f>SUM(AK45:AK54)</f>
        <v>18</v>
      </c>
      <c r="AL55" s="24">
        <f t="shared" si="21"/>
        <v>0</v>
      </c>
      <c r="AM55" s="24">
        <f t="shared" si="21"/>
        <v>5</v>
      </c>
      <c r="AN55" s="24">
        <f t="shared" si="21"/>
        <v>3</v>
      </c>
      <c r="AO55" s="25">
        <f t="shared" si="21"/>
        <v>7</v>
      </c>
    </row>
    <row r="57" spans="1:41" ht="16.899999999999999" customHeight="1">
      <c r="A57" s="26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V57" s="27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</row>
    <row r="58" spans="1:41" ht="16.899999999999999" customHeight="1"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V58" s="27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</row>
    <row r="59" spans="1:41" ht="16.899999999999999" customHeight="1"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</row>
    <row r="60" spans="1:41" ht="16.899999999999999" customHeight="1"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W60" s="107" t="s">
        <v>44</v>
      </c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</row>
  </sheetData>
  <mergeCells count="43"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  <mergeCell ref="V2:W3"/>
    <mergeCell ref="V15:W15"/>
    <mergeCell ref="V29:W30"/>
    <mergeCell ref="R2:T2"/>
    <mergeCell ref="L2:Q2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AD43:AF43"/>
    <mergeCell ref="X43:AC43"/>
    <mergeCell ref="C29:H29"/>
    <mergeCell ref="X29:AC29"/>
    <mergeCell ref="V41:W41"/>
    <mergeCell ref="V43:W44"/>
  </mergeCells>
  <phoneticPr fontId="1" type="noConversion"/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C28" sqref="C28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3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4" t="s">
        <v>56</v>
      </c>
      <c r="M2" s="124"/>
      <c r="N2" s="124"/>
      <c r="O2" s="124"/>
      <c r="Q2" s="124" t="s">
        <v>57</v>
      </c>
      <c r="R2" s="124"/>
      <c r="S2" s="124"/>
      <c r="T2" s="124"/>
    </row>
    <row r="3" spans="1:20" ht="17.25" customHeight="1" thickBot="1">
      <c r="A3" s="42" t="s">
        <v>43</v>
      </c>
      <c r="B3" s="43">
        <f>Daily!L15</f>
        <v>1677</v>
      </c>
      <c r="C3" s="43">
        <f>Daily!M15</f>
        <v>1</v>
      </c>
      <c r="D3" s="43">
        <f>Daily!N15</f>
        <v>1260</v>
      </c>
      <c r="E3" s="43">
        <f>Daily!O15</f>
        <v>39</v>
      </c>
      <c r="F3" s="43">
        <f>Daily!P15</f>
        <v>61</v>
      </c>
      <c r="G3" s="43">
        <f>Daily!Q15</f>
        <v>0</v>
      </c>
      <c r="H3" s="43">
        <f>Daily!R15</f>
        <v>0</v>
      </c>
      <c r="I3" s="43">
        <f>Daily!S15</f>
        <v>0</v>
      </c>
      <c r="J3" s="43">
        <f>Daily!T15</f>
        <v>2</v>
      </c>
      <c r="L3" s="125" t="s">
        <v>51</v>
      </c>
      <c r="M3" s="81" t="s">
        <v>50</v>
      </c>
      <c r="N3" s="81" t="s">
        <v>49</v>
      </c>
      <c r="O3" s="80" t="s">
        <v>48</v>
      </c>
      <c r="P3" s="84"/>
      <c r="Q3" s="125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/>
      <c r="C4" s="49"/>
      <c r="D4" s="49"/>
      <c r="E4" s="49"/>
      <c r="F4" s="49"/>
      <c r="G4" s="49"/>
      <c r="H4" s="49"/>
      <c r="I4" s="49"/>
      <c r="J4" s="49"/>
      <c r="L4" s="126"/>
      <c r="M4" s="80" t="s">
        <v>5</v>
      </c>
      <c r="N4" s="80" t="s">
        <v>5</v>
      </c>
      <c r="O4" s="80" t="s">
        <v>5</v>
      </c>
      <c r="P4" s="84"/>
      <c r="Q4" s="126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21</v>
      </c>
      <c r="N5" s="79">
        <v>0</v>
      </c>
      <c r="O5" s="79">
        <v>3</v>
      </c>
      <c r="P5" s="84"/>
      <c r="Q5" s="83">
        <v>2025</v>
      </c>
      <c r="R5" s="79">
        <v>52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8</v>
      </c>
      <c r="N6" s="79">
        <v>0</v>
      </c>
      <c r="O6" s="79">
        <v>0</v>
      </c>
      <c r="P6" s="84"/>
      <c r="Q6" s="83">
        <v>2023</v>
      </c>
      <c r="R6" s="80">
        <v>4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221</v>
      </c>
      <c r="C7" s="43">
        <f>Daily!D15</f>
        <v>0</v>
      </c>
      <c r="D7" s="43">
        <f>Daily!E15</f>
        <v>117</v>
      </c>
      <c r="E7" s="43">
        <f>Daily!F15</f>
        <v>5</v>
      </c>
      <c r="F7" s="43">
        <f>Daily!G15</f>
        <v>12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80">
        <v>2021</v>
      </c>
      <c r="M7" s="79">
        <v>5</v>
      </c>
      <c r="N7" s="79">
        <v>0</v>
      </c>
      <c r="O7" s="79">
        <v>0</v>
      </c>
      <c r="P7" s="84"/>
      <c r="Q7" s="80">
        <v>2021</v>
      </c>
      <c r="R7" s="80">
        <v>8</v>
      </c>
      <c r="S7" s="79">
        <v>0</v>
      </c>
      <c r="T7" s="79">
        <v>0</v>
      </c>
    </row>
    <row r="8" spans="1:20" ht="17.25" thickBot="1">
      <c r="A8" s="45" t="s">
        <v>64</v>
      </c>
      <c r="B8" s="46">
        <f>Daily!C41</f>
        <v>241</v>
      </c>
      <c r="C8" s="46">
        <f>Daily!D41</f>
        <v>0</v>
      </c>
      <c r="D8" s="46">
        <f>Daily!E41</f>
        <v>167</v>
      </c>
      <c r="E8" s="46">
        <f>Daily!F41</f>
        <v>2</v>
      </c>
      <c r="F8" s="46">
        <f>Daily!G41</f>
        <v>13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9</v>
      </c>
      <c r="N8" s="79">
        <v>0</v>
      </c>
      <c r="O8" s="79">
        <v>0</v>
      </c>
      <c r="P8" s="84"/>
      <c r="Q8" s="80">
        <v>2020</v>
      </c>
      <c r="R8" s="80">
        <v>8</v>
      </c>
      <c r="S8" s="79">
        <v>0</v>
      </c>
      <c r="T8" s="79">
        <v>0</v>
      </c>
    </row>
    <row r="9" spans="1:20" ht="17.25" thickBot="1">
      <c r="A9" s="45" t="s">
        <v>61</v>
      </c>
      <c r="B9" s="46">
        <f>Daily!C55</f>
        <v>477</v>
      </c>
      <c r="C9" s="46">
        <f>Daily!D55</f>
        <v>1</v>
      </c>
      <c r="D9" s="46">
        <f>Daily!E55</f>
        <v>250</v>
      </c>
      <c r="E9" s="46">
        <f>Daily!F55</f>
        <v>7</v>
      </c>
      <c r="F9" s="46">
        <f>Daily!G55</f>
        <v>16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43</v>
      </c>
      <c r="N9" s="78">
        <f>SUM(N5:N8)</f>
        <v>0</v>
      </c>
      <c r="O9" s="78">
        <f>SUM(O5:O8)</f>
        <v>3</v>
      </c>
      <c r="P9" s="84"/>
      <c r="Q9" s="85" t="s">
        <v>47</v>
      </c>
      <c r="R9" s="78">
        <f>SUM(R5:R8)</f>
        <v>72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1180</v>
      </c>
      <c r="C10" s="48">
        <f t="shared" ref="C10:J10" si="0">(C3+C4+C5+C6+C7)-(C8+C9)</f>
        <v>0</v>
      </c>
      <c r="D10" s="48">
        <f t="shared" si="0"/>
        <v>960</v>
      </c>
      <c r="E10" s="48">
        <f t="shared" si="0"/>
        <v>35</v>
      </c>
      <c r="F10" s="48">
        <f t="shared" si="0"/>
        <v>44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2</v>
      </c>
    </row>
    <row r="11" spans="1:20" ht="16.5">
      <c r="P11" s="84"/>
    </row>
    <row r="12" spans="1:20" ht="17.25" thickBot="1">
      <c r="P12" s="84"/>
    </row>
    <row r="13" spans="1:20" ht="15.75" thickBot="1">
      <c r="A13" s="121" t="s">
        <v>42</v>
      </c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2083</v>
      </c>
      <c r="C15" s="43">
        <f>Daily!AH15</f>
        <v>0</v>
      </c>
      <c r="D15" s="43">
        <f>Daily!AI15</f>
        <v>1391</v>
      </c>
      <c r="E15" s="43">
        <f>Daily!AJ15</f>
        <v>8</v>
      </c>
      <c r="F15" s="43">
        <f>Daily!AK15</f>
        <v>83</v>
      </c>
      <c r="G15" s="43">
        <f>Daily!AL15</f>
        <v>0</v>
      </c>
      <c r="H15" s="43">
        <f>Daily!AM15</f>
        <v>5</v>
      </c>
      <c r="I15" s="43">
        <f>Daily!AN15</f>
        <v>3</v>
      </c>
      <c r="J15" s="43">
        <f>Daily!AO15</f>
        <v>7</v>
      </c>
    </row>
    <row r="16" spans="1:20" ht="15.75" thickBot="1">
      <c r="A16" s="42" t="s">
        <v>38</v>
      </c>
      <c r="B16" s="43">
        <v>70</v>
      </c>
      <c r="C16" s="43"/>
      <c r="D16" s="43"/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202</v>
      </c>
      <c r="C19" s="43">
        <f>Daily!Y15</f>
        <v>0</v>
      </c>
      <c r="D19" s="43">
        <f>Daily!Z15</f>
        <v>333</v>
      </c>
      <c r="E19" s="43">
        <f>Daily!AA15</f>
        <v>0</v>
      </c>
      <c r="F19" s="43">
        <f>Daily!AB15</f>
        <v>4</v>
      </c>
      <c r="G19" s="43">
        <f>Daily!AC15</f>
        <v>0</v>
      </c>
      <c r="H19" s="43">
        <f>Daily!AD15</f>
        <v>0</v>
      </c>
      <c r="I19" s="43">
        <f>Daily!AE15</f>
        <v>0</v>
      </c>
      <c r="J19" s="43">
        <f>Daily!AF15</f>
        <v>0</v>
      </c>
    </row>
    <row r="20" spans="1:10" ht="15.75" thickBot="1">
      <c r="A20" s="45" t="str">
        <f>A8</f>
        <v>Booking (30-04/10)2026</v>
      </c>
      <c r="B20" s="46">
        <f>Daily!X41</f>
        <v>267</v>
      </c>
      <c r="C20" s="46">
        <f>Daily!Y41</f>
        <v>0</v>
      </c>
      <c r="D20" s="46">
        <f>Daily!Z41</f>
        <v>144</v>
      </c>
      <c r="E20" s="46">
        <f>Daily!AA41</f>
        <v>2</v>
      </c>
      <c r="F20" s="46">
        <f>Daily!AB41</f>
        <v>28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(05-11/10)2026</v>
      </c>
      <c r="B21" s="46">
        <f>Daily!X55</f>
        <v>351</v>
      </c>
      <c r="C21" s="46">
        <f>Daily!Y55</f>
        <v>0</v>
      </c>
      <c r="D21" s="46">
        <f>Daily!Z55</f>
        <v>254</v>
      </c>
      <c r="E21" s="46">
        <f>Daily!AA55</f>
        <v>4</v>
      </c>
      <c r="F21" s="46">
        <f>Daily!AB55</f>
        <v>37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1737</v>
      </c>
      <c r="C22" s="48">
        <f t="shared" ref="C22:J22" si="1">(C15+C16+C17+C18+C19)-(C20+C21)</f>
        <v>0</v>
      </c>
      <c r="D22" s="48">
        <f>(D15+D16+D17+D18+D19)-(D20+D21)</f>
        <v>1326</v>
      </c>
      <c r="E22" s="48">
        <f>(E15+E16+E17+E18+E19)-(E20+E21)</f>
        <v>2</v>
      </c>
      <c r="F22" s="48">
        <f>(F15+F16+F17+F18+F19)-(F20+F21)</f>
        <v>22</v>
      </c>
      <c r="G22" s="48">
        <f t="shared" si="1"/>
        <v>0</v>
      </c>
      <c r="H22" s="48">
        <f t="shared" si="1"/>
        <v>5</v>
      </c>
      <c r="I22" s="48">
        <f t="shared" si="1"/>
        <v>3</v>
      </c>
      <c r="J22" s="48">
        <f t="shared" si="1"/>
        <v>7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G11" sqref="G11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4" t="s">
        <v>56</v>
      </c>
      <c r="B1" s="124"/>
      <c r="C1" s="124"/>
      <c r="D1" s="124"/>
      <c r="F1" s="124" t="s">
        <v>57</v>
      </c>
      <c r="G1" s="124"/>
      <c r="H1" s="124"/>
      <c r="I1" s="124"/>
    </row>
    <row r="2" spans="1:9" ht="18" customHeight="1">
      <c r="A2" s="125" t="s">
        <v>51</v>
      </c>
      <c r="B2" s="81" t="s">
        <v>50</v>
      </c>
      <c r="C2" s="81" t="s">
        <v>49</v>
      </c>
      <c r="D2" s="80" t="s">
        <v>48</v>
      </c>
      <c r="E2" s="84"/>
      <c r="F2" s="125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6"/>
      <c r="B3" s="80" t="s">
        <v>5</v>
      </c>
      <c r="C3" s="80" t="s">
        <v>5</v>
      </c>
      <c r="D3" s="80" t="s">
        <v>5</v>
      </c>
      <c r="E3" s="84"/>
      <c r="F3" s="126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21</v>
      </c>
      <c r="C4" s="79">
        <v>0</v>
      </c>
      <c r="D4" s="79">
        <v>3</v>
      </c>
      <c r="E4" s="84"/>
      <c r="F4" s="83">
        <v>2025</v>
      </c>
      <c r="G4" s="79">
        <v>52</v>
      </c>
      <c r="H4" s="79">
        <v>0</v>
      </c>
      <c r="I4" s="79">
        <v>0</v>
      </c>
    </row>
    <row r="5" spans="1:9" ht="15.75" customHeight="1">
      <c r="A5" s="83">
        <v>2023</v>
      </c>
      <c r="B5" s="79">
        <v>8</v>
      </c>
      <c r="C5" s="79">
        <v>0</v>
      </c>
      <c r="D5" s="79">
        <v>0</v>
      </c>
      <c r="E5" s="84"/>
      <c r="F5" s="83">
        <v>2023</v>
      </c>
      <c r="G5" s="80">
        <v>4</v>
      </c>
      <c r="H5" s="79">
        <v>0</v>
      </c>
      <c r="I5" s="79">
        <v>0</v>
      </c>
    </row>
    <row r="6" spans="1:9" ht="15.75" customHeight="1">
      <c r="A6" s="80">
        <v>2021</v>
      </c>
      <c r="B6" s="79">
        <v>5</v>
      </c>
      <c r="C6" s="79">
        <v>0</v>
      </c>
      <c r="D6" s="79">
        <v>0</v>
      </c>
      <c r="E6" s="84"/>
      <c r="F6" s="80">
        <v>2021</v>
      </c>
      <c r="G6" s="80">
        <v>8</v>
      </c>
      <c r="H6" s="79">
        <v>0</v>
      </c>
      <c r="I6" s="79">
        <v>0</v>
      </c>
    </row>
    <row r="7" spans="1:9" ht="15.75" customHeight="1">
      <c r="A7" s="80">
        <v>2020</v>
      </c>
      <c r="B7" s="79">
        <v>9</v>
      </c>
      <c r="C7" s="79">
        <v>0</v>
      </c>
      <c r="D7" s="79">
        <v>0</v>
      </c>
      <c r="E7" s="84"/>
      <c r="F7" s="80">
        <v>2020</v>
      </c>
      <c r="G7" s="80">
        <v>8</v>
      </c>
      <c r="H7" s="79">
        <v>0</v>
      </c>
      <c r="I7" s="79">
        <v>0</v>
      </c>
    </row>
    <row r="8" spans="1:9" ht="15.75" customHeight="1">
      <c r="A8" s="80">
        <v>2019</v>
      </c>
      <c r="B8" s="79">
        <v>6</v>
      </c>
      <c r="C8" s="79">
        <v>0</v>
      </c>
      <c r="D8" s="79">
        <v>0</v>
      </c>
      <c r="E8" s="84"/>
      <c r="F8" s="80">
        <v>2019</v>
      </c>
      <c r="G8" s="80">
        <v>3</v>
      </c>
      <c r="H8" s="79">
        <v>0</v>
      </c>
      <c r="I8" s="79">
        <v>0</v>
      </c>
    </row>
    <row r="9" spans="1:9" ht="15.75" customHeight="1">
      <c r="A9" s="80">
        <v>2018</v>
      </c>
      <c r="B9" s="79">
        <v>2</v>
      </c>
      <c r="C9" s="79">
        <v>0</v>
      </c>
      <c r="D9" s="79">
        <v>0</v>
      </c>
      <c r="E9" s="84"/>
      <c r="F9" s="80">
        <v>2018</v>
      </c>
      <c r="G9" s="80">
        <v>2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0</v>
      </c>
      <c r="C10" s="79">
        <v>0</v>
      </c>
      <c r="D10" s="79">
        <v>0</v>
      </c>
      <c r="E10" s="84"/>
      <c r="F10" s="80">
        <v>2017</v>
      </c>
      <c r="G10" s="80" t="s">
        <v>59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1</v>
      </c>
      <c r="C11" s="79">
        <v>0</v>
      </c>
      <c r="D11" s="79">
        <v>0</v>
      </c>
      <c r="E11" s="84"/>
      <c r="F11" s="80">
        <v>2016</v>
      </c>
      <c r="G11" s="80">
        <v>3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52</v>
      </c>
      <c r="C12" s="78">
        <f t="shared" ref="C12:D12" si="0">SUM(C4:C11)</f>
        <v>0</v>
      </c>
      <c r="D12" s="78">
        <f t="shared" si="0"/>
        <v>3</v>
      </c>
      <c r="E12" s="84"/>
      <c r="F12" s="85" t="s">
        <v>47</v>
      </c>
      <c r="G12" s="78">
        <f>SUM(G4:G11)</f>
        <v>80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2026-09-30T03:07:01Z</dcterms:modified>
</cp:coreProperties>
</file>
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26327702-C5EA-4AC1-9E7C-55902629149A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<sst xmlns="http://schemas.openxmlformats.org/spreadsheetml/2006/main" count="338" uniqueCount="65">
  <si>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</si>
  <si>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</si>
  <si>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</si>
  <si>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</si>
  <si>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</si>
  <si>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</si>
  <si>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</si>
  <si>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</si>
  <si>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</si>
  <si>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</si>
  <si>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</si>
  <si>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</si>
  <si>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</si>
  <si>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</si>
  <si>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</si>
  <si>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</si>
  <si>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</si>
  <si>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</si>
  <si>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</si>
  <si>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</si>
  <si>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</si>
  <si>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</si>
  <si>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</si>
  <si>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</si>
  <si>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</si>
  <si>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</si>
  <si>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</si>
  <si>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</si>
  <si>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</si>
  <si>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</si>
  <si>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</si>
  <si>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</si>
  <si>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</si>
  <si>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</si>
  <si>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</si>
  <si>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</si>
  <si>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</si>
  <si>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</si>
  <si>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</si>
  <si>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</si>
  <si>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</si>
  <si>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</si>
  <si>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</si>
  <si>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</si>
  <si>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</si>
  <si>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</si>
  <si>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</si>
  <si>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</si>
  <si>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</si>
  <si>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</si>
  <si>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</si>
  <si>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</si>
  <si>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</si>
  <si>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</si>
  <si>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</si>
  <si>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</si>
  <si>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</si>
  <si>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</si>
  <si>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</si>
  <si>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</si>
  <si>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12-18/10/2026</t>
  </si>
  <si>
    <t>Booking (12-18/10)2026</t>
  </si>
  <si>
    <t>05/10/2026</t>
  </si>
  <si>
    <t>05-11/10/2026</t>
  </si>
  <si>
    <t>Booking (05-11/10)2026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</si>
</sst>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1" t="s">
        <v>62</v>
      </c>
      <c r="AM1" s="92"/>
      <c r="AN1" s="92"/>
      <c r="AO1" s="92"/>
    </row>
    <row r="2" spans="1:41" s="3" customFormat="1" ht="16.899999999999999" customHeight="1">
      <c r="A2" s="95" t="s">
        <v>0</v>
      </c>
      <c r="B2" s="96"/>
      <c r="C2" s="99" t="s">
        <v>16</v>
      </c>
      <c r="D2" s="99"/>
      <c r="E2" s="99"/>
      <c r="F2" s="99"/>
      <c r="G2" s="99"/>
      <c r="H2" s="99"/>
      <c r="I2" s="99"/>
      <c r="J2" s="99"/>
      <c r="K2" s="100"/>
      <c r="L2" s="112" t="s">
        <v>35</v>
      </c>
      <c r="M2" s="110"/>
      <c r="N2" s="110"/>
      <c r="O2" s="110"/>
      <c r="P2" s="110"/>
      <c r="Q2" s="113"/>
      <c r="R2" s="109" t="str">
        <f>AL1</f>
        <v>05/10/2026</v>
      </c>
      <c r="S2" s="110"/>
      <c r="T2" s="111"/>
      <c r="V2" s="95" t="s">
        <v>0</v>
      </c>
      <c r="W2" s="96"/>
      <c r="X2" s="99" t="s">
        <v>17</v>
      </c>
      <c r="Y2" s="99"/>
      <c r="Z2" s="99"/>
      <c r="AA2" s="99"/>
      <c r="AB2" s="99"/>
      <c r="AC2" s="99"/>
      <c r="AD2" s="99"/>
      <c r="AE2" s="99"/>
      <c r="AF2" s="100"/>
      <c r="AG2" s="112" t="s">
        <v>35</v>
      </c>
      <c r="AH2" s="110"/>
      <c r="AI2" s="110"/>
      <c r="AJ2" s="110"/>
      <c r="AK2" s="110"/>
      <c r="AL2" s="113"/>
      <c r="AM2" s="109" t="str">
        <f>R2</f>
        <v>05/10/2026</v>
      </c>
      <c r="AN2" s="110"/>
      <c r="AO2" s="111"/>
    </row>
    <row r="3" spans="1:41" ht="16.149999999999999" customHeight="1">
      <c r="A3" s="97"/>
      <c r="B3" s="98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7"/>
      <c r="W3" s="98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159</v>
      </c>
      <c r="D4" s="54"/>
      <c r="E4" s="54">
        <v>97</v>
      </c>
      <c r="F4" s="54">
        <v>1</v>
      </c>
      <c r="G4" s="54">
        <v>5</v>
      </c>
      <c r="H4" s="54"/>
      <c r="I4" s="54"/>
      <c r="J4" s="54"/>
      <c r="K4" s="55"/>
      <c r="L4" s="62">
        <v>68</v>
      </c>
      <c r="M4" s="63"/>
      <c r="N4" s="63">
        <v>53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76</v>
      </c>
      <c r="Y4" s="56">
        <v>0</v>
      </c>
      <c r="Z4" s="56">
        <v>99</v>
      </c>
      <c r="AA4" s="56"/>
      <c r="AB4" s="56">
        <v>1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44</v>
      </c>
      <c r="D5" s="54"/>
      <c r="E5" s="54">
        <v>4</v>
      </c>
      <c r="F5" s="54"/>
      <c r="G5" s="54"/>
      <c r="H5" s="54"/>
      <c r="I5" s="54">
        <v>0</v>
      </c>
      <c r="J5" s="54"/>
      <c r="K5" s="55"/>
      <c r="L5" s="62">
        <v>15</v>
      </c>
      <c r="M5" s="63">
        <v>0</v>
      </c>
      <c r="N5" s="63">
        <v>89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75</v>
      </c>
      <c r="Y5" s="54"/>
      <c r="Z5" s="54">
        <v>81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189</v>
      </c>
      <c r="M7" s="63"/>
      <c r="N7" s="63">
        <v>191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14</v>
      </c>
      <c r="Y7" s="56">
        <v>0</v>
      </c>
      <c r="Z7" s="56">
        <v>12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1317</v>
      </c>
      <c r="M8" s="63"/>
      <c r="N8" s="67">
        <v>831</v>
      </c>
      <c r="O8" s="63">
        <v>43</v>
      </c>
      <c r="P8" s="63">
        <v>58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16</v>
      </c>
      <c r="Y8" s="54"/>
      <c r="Z8" s="54">
        <v>38</v>
      </c>
      <c r="AA8" s="56"/>
      <c r="AB8" s="56">
        <v>26</v>
      </c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1419</v>
      </c>
      <c r="AH9" s="63"/>
      <c r="AI9" s="63">
        <v>995</v>
      </c>
      <c r="AJ9" s="63">
        <v>12</v>
      </c>
      <c r="AK9" s="63">
        <v>68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267</v>
      </c>
      <c r="AH10" s="63"/>
      <c r="AI10" s="63">
        <v>184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/>
      <c r="D11" s="56"/>
      <c r="E11" s="56"/>
      <c r="F11" s="56"/>
      <c r="G11" s="56">
        <v>4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441</v>
      </c>
      <c r="AH11" s="63"/>
      <c r="AI11" s="63">
        <v>243</v>
      </c>
      <c r="AJ11" s="63"/>
      <c r="AK11" s="63"/>
      <c r="AL11" s="63">
        <v>0</v>
      </c>
      <c r="AM11" s="63"/>
      <c r="AN11" s="63">
        <v>1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4</v>
      </c>
      <c r="Y12" s="56"/>
      <c r="Z12" s="56"/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4</v>
      </c>
      <c r="AH14" s="10"/>
      <c r="AI14" s="10">
        <v>18</v>
      </c>
      <c r="AJ14" s="10"/>
      <c r="AK14" s="10"/>
      <c r="AL14" s="31"/>
      <c r="AM14" s="31"/>
      <c r="AN14" s="31"/>
      <c r="AO14" s="20"/>
    </row>
    <row r="15" spans="1:41" ht="21" customHeight="1" thickBot="1">
      <c r="A15" s="93" t="s">
        <v>12</v>
      </c>
      <c r="B15" s="94"/>
      <c r="C15" s="56">
        <f t="shared" ref="C15:T15" si="0">SUM(C4:C14)</f>
        <v>203</v>
      </c>
      <c r="D15" s="56">
        <f t="shared" si="0"/>
        <v>0</v>
      </c>
      <c r="E15" s="56">
        <f t="shared" si="0"/>
        <v>101</v>
      </c>
      <c r="F15" s="56">
        <f t="shared" si="0"/>
        <v>1</v>
      </c>
      <c r="G15" s="56">
        <f t="shared" si="0"/>
        <v>9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1611</v>
      </c>
      <c r="M15" s="75">
        <f t="shared" si="0"/>
        <v>0</v>
      </c>
      <c r="N15" s="75">
        <f t="shared" si="0"/>
        <v>1171</v>
      </c>
      <c r="O15" s="75">
        <f t="shared" si="0"/>
        <v>43</v>
      </c>
      <c r="P15" s="75">
        <f t="shared" si="0"/>
        <v>58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3" t="s">
        <v>13</v>
      </c>
      <c r="W15" s="94"/>
      <c r="X15" s="56">
        <f t="shared" ref="X15:AO15" si="1">SUM(X4:X14)</f>
        <v>185</v>
      </c>
      <c r="Y15" s="56">
        <f t="shared" si="1"/>
        <v>0</v>
      </c>
      <c r="Z15" s="56">
        <f t="shared" si="1"/>
        <v>230</v>
      </c>
      <c r="AA15" s="8">
        <f t="shared" si="1"/>
        <v>0</v>
      </c>
      <c r="AB15" s="56">
        <f t="shared" si="1"/>
        <v>27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2131</v>
      </c>
      <c r="AH15" s="24">
        <f t="shared" si="1"/>
        <v>0</v>
      </c>
      <c r="AI15" s="24">
        <f>SUM(AI4:AI14)</f>
        <v>1440</v>
      </c>
      <c r="AJ15" s="24">
        <f t="shared" si="1"/>
        <v>12</v>
      </c>
      <c r="AK15" s="24">
        <f t="shared" si="1"/>
        <v>68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01" t="s">
        <v>0</v>
      </c>
      <c r="B17" s="12"/>
      <c r="C17" s="103"/>
      <c r="D17" s="103"/>
      <c r="E17" s="103"/>
      <c r="F17" s="103"/>
      <c r="G17" s="103"/>
      <c r="H17" s="103"/>
      <c r="I17" s="103"/>
      <c r="J17" s="103"/>
      <c r="K17" s="103"/>
      <c r="L17" s="104" t="s">
        <v>14</v>
      </c>
      <c r="M17" s="104"/>
      <c r="N17" s="104"/>
      <c r="O17" s="104"/>
      <c r="P17" s="104"/>
      <c r="Q17" s="104"/>
      <c r="R17" s="104"/>
      <c r="S17" s="104"/>
      <c r="T17" s="105"/>
      <c r="V17" s="101" t="s">
        <v>0</v>
      </c>
      <c r="W17" s="12"/>
      <c r="X17" s="103"/>
      <c r="Y17" s="103"/>
      <c r="Z17" s="103"/>
      <c r="AA17" s="103"/>
      <c r="AB17" s="103"/>
      <c r="AC17" s="103"/>
      <c r="AD17" s="103"/>
      <c r="AE17" s="103"/>
      <c r="AF17" s="103"/>
      <c r="AG17" s="104" t="s">
        <v>14</v>
      </c>
      <c r="AH17" s="104"/>
      <c r="AI17" s="104"/>
      <c r="AJ17" s="104"/>
      <c r="AK17" s="104"/>
      <c r="AL17" s="104"/>
      <c r="AM17" s="104"/>
      <c r="AN17" s="104"/>
      <c r="AO17" s="105"/>
    </row>
    <row r="18" spans="1:41" ht="16.350000000000001" hidden="1" customHeight="1">
      <c r="A18" s="102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2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5" t="s">
        <v>0</v>
      </c>
      <c r="B29" s="96"/>
      <c r="C29" s="118" t="s">
        <v>45</v>
      </c>
      <c r="D29" s="119"/>
      <c r="E29" s="119"/>
      <c r="F29" s="119"/>
      <c r="G29" s="119"/>
      <c r="H29" s="120"/>
      <c r="I29" s="29" t="s">
        <v>63</v>
      </c>
      <c r="J29" s="30"/>
      <c r="K29" s="30"/>
      <c r="L29" s="106" t="s">
        <v>14</v>
      </c>
      <c r="M29" s="107"/>
      <c r="N29" s="107"/>
      <c r="O29" s="107"/>
      <c r="P29" s="107"/>
      <c r="Q29" s="107"/>
      <c r="R29" s="107"/>
      <c r="S29" s="107"/>
      <c r="T29" s="108"/>
      <c r="V29" s="95" t="s">
        <v>0</v>
      </c>
      <c r="W29" s="96"/>
      <c r="X29" s="118" t="str">
        <f>C29</f>
        <v>BOOKING W 1</v>
      </c>
      <c r="Y29" s="119"/>
      <c r="Z29" s="119"/>
      <c r="AA29" s="119"/>
      <c r="AB29" s="119"/>
      <c r="AC29" s="120"/>
      <c r="AD29" s="72" t="str">
        <f>I29</f>
        <v>05-11/10/2026</v>
      </c>
      <c r="AE29" s="73"/>
      <c r="AF29" s="73"/>
      <c r="AG29" s="106" t="s">
        <v>14</v>
      </c>
      <c r="AH29" s="107"/>
      <c r="AI29" s="107"/>
      <c r="AJ29" s="107"/>
      <c r="AK29" s="107"/>
      <c r="AL29" s="107"/>
      <c r="AM29" s="107"/>
      <c r="AN29" s="107"/>
      <c r="AO29" s="108"/>
    </row>
    <row r="30" spans="1:41" ht="16.149999999999999" customHeight="1">
      <c r="A30" s="97"/>
      <c r="B30" s="98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7"/>
      <c r="W30" s="98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69</v>
      </c>
      <c r="D31" s="56"/>
      <c r="E31" s="56">
        <v>27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-1</v>
      </c>
      <c r="M31" s="63">
        <f t="shared" si="2"/>
        <v>0</v>
      </c>
      <c r="N31" s="63">
        <f t="shared" si="2"/>
        <v>26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10</v>
      </c>
      <c r="D32" s="54"/>
      <c r="E32" s="54">
        <v>14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5</v>
      </c>
      <c r="M32" s="63">
        <f t="shared" si="2"/>
        <v>0</v>
      </c>
      <c r="N32" s="63">
        <f t="shared" si="2"/>
        <v>75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71</v>
      </c>
      <c r="D34" s="54"/>
      <c r="E34" s="54">
        <v>52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118</v>
      </c>
      <c r="M34" s="63">
        <f>SUM(M7-D34)</f>
        <v>0</v>
      </c>
      <c r="N34" s="63">
        <f t="shared" si="4"/>
        <v>139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329</v>
      </c>
      <c r="D35" s="54"/>
      <c r="E35" s="54">
        <v>187</v>
      </c>
      <c r="F35" s="54">
        <v>8</v>
      </c>
      <c r="G35" s="54">
        <v>19</v>
      </c>
      <c r="H35" s="54"/>
      <c r="I35" s="54"/>
      <c r="J35" s="54"/>
      <c r="K35" s="54"/>
      <c r="L35" s="62">
        <f>SUM(L8-C35)</f>
        <v>988</v>
      </c>
      <c r="M35" s="63">
        <f>SUM(M8-D35)</f>
        <v>0</v>
      </c>
      <c r="N35" s="63">
        <f t="shared" si="4"/>
        <v>644</v>
      </c>
      <c r="O35" s="63">
        <f t="shared" si="4"/>
        <v>35</v>
      </c>
      <c r="P35" s="63">
        <f t="shared" si="4"/>
        <v>39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214</v>
      </c>
      <c r="Y36" s="54"/>
      <c r="Z36" s="54">
        <v>216</v>
      </c>
      <c r="AA36" s="54">
        <v>4</v>
      </c>
      <c r="AB36" s="54">
        <v>36</v>
      </c>
      <c r="AC36" s="54"/>
      <c r="AD36" s="54"/>
      <c r="AE36" s="54"/>
      <c r="AF36" s="54"/>
      <c r="AG36" s="62">
        <f t="shared" ref="AG36:AO36" si="6">SUM(AG9-X36)</f>
        <v>1205</v>
      </c>
      <c r="AH36" s="63">
        <f t="shared" si="6"/>
        <v>0</v>
      </c>
      <c r="AI36" s="63">
        <f t="shared" si="6"/>
        <v>779</v>
      </c>
      <c r="AJ36" s="63">
        <f t="shared" si="6"/>
        <v>8</v>
      </c>
      <c r="AK36" s="63">
        <f t="shared" si="6"/>
        <v>32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89</v>
      </c>
      <c r="Y37" s="54"/>
      <c r="Z37" s="54">
        <v>62</v>
      </c>
      <c r="AA37" s="54"/>
      <c r="AB37" s="54"/>
      <c r="AC37" s="54"/>
      <c r="AD37" s="54">
        <v>0</v>
      </c>
      <c r="AE37" s="54"/>
      <c r="AF37" s="54"/>
      <c r="AG37" s="62">
        <f>SUM(AG10-X37)</f>
        <v>178</v>
      </c>
      <c r="AH37" s="63">
        <f t="shared" ref="AG37:AO40" si="9">SUM(AH10-Y37)</f>
        <v>0</v>
      </c>
      <c r="AI37" s="63">
        <f>SUM(AI10-Z37)</f>
        <v>122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115</v>
      </c>
      <c r="Y38" s="54"/>
      <c r="Z38" s="54">
        <v>60</v>
      </c>
      <c r="AA38" s="54"/>
      <c r="AB38" s="54"/>
      <c r="AC38" s="54"/>
      <c r="AD38" s="54"/>
      <c r="AE38" s="54"/>
      <c r="AF38" s="54"/>
      <c r="AG38" s="62">
        <f>SUM(AG11-X38)</f>
        <v>326</v>
      </c>
      <c r="AH38" s="63">
        <f t="shared" si="9"/>
        <v>0</v>
      </c>
      <c r="AI38" s="63">
        <f t="shared" si="9"/>
        <v>183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3" t="s">
        <v>12</v>
      </c>
      <c r="B41" s="94"/>
      <c r="C41" s="54">
        <f>SUM(C31:C40)</f>
        <v>479</v>
      </c>
      <c r="D41" s="54">
        <f t="shared" ref="D41:K41" si="11">SUM(D31:D40)</f>
        <v>0</v>
      </c>
      <c r="E41" s="54">
        <f t="shared" si="11"/>
        <v>280</v>
      </c>
      <c r="F41" s="54">
        <f t="shared" si="11"/>
        <v>8</v>
      </c>
      <c r="G41" s="54">
        <f t="shared" si="11"/>
        <v>19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1132</v>
      </c>
      <c r="M41" s="24">
        <f>SUM(M31:M40)</f>
        <v>0</v>
      </c>
      <c r="N41" s="75">
        <f>SUM(N31:N40)</f>
        <v>891</v>
      </c>
      <c r="O41" s="24">
        <f t="shared" ref="O41:S41" si="12">SUM(O31:O40)</f>
        <v>35</v>
      </c>
      <c r="P41" s="24">
        <f t="shared" si="12"/>
        <v>39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3" t="s">
        <v>13</v>
      </c>
      <c r="W41" s="94"/>
      <c r="X41" s="6">
        <f t="shared" ref="X41:AF41" si="13">SUM(X31:X40)</f>
        <v>418</v>
      </c>
      <c r="Y41" s="6">
        <f t="shared" si="13"/>
        <v>0</v>
      </c>
      <c r="Z41" s="6">
        <f t="shared" si="13"/>
        <v>338</v>
      </c>
      <c r="AA41" s="6">
        <f t="shared" si="13"/>
        <v>4</v>
      </c>
      <c r="AB41" s="6">
        <f t="shared" si="13"/>
        <v>36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1709</v>
      </c>
      <c r="AH41" s="24">
        <f t="shared" si="14"/>
        <v>0</v>
      </c>
      <c r="AI41" s="24">
        <f t="shared" si="14"/>
        <v>1084</v>
      </c>
      <c r="AJ41" s="24">
        <f t="shared" si="14"/>
        <v>8</v>
      </c>
      <c r="AK41" s="24">
        <f t="shared" si="14"/>
        <v>32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5" t="s">
        <v>0</v>
      </c>
      <c r="B43" s="96"/>
      <c r="C43" s="118" t="s">
        <v>46</v>
      </c>
      <c r="D43" s="119"/>
      <c r="E43" s="119"/>
      <c r="F43" s="119"/>
      <c r="G43" s="119"/>
      <c r="H43" s="120"/>
      <c r="I43" s="116" t="s">
        <v>60</v>
      </c>
      <c r="J43" s="117"/>
      <c r="K43" s="117"/>
      <c r="L43" s="106" t="s">
        <v>14</v>
      </c>
      <c r="M43" s="107"/>
      <c r="N43" s="107"/>
      <c r="O43" s="107"/>
      <c r="P43" s="107"/>
      <c r="Q43" s="107"/>
      <c r="R43" s="107"/>
      <c r="S43" s="107"/>
      <c r="T43" s="108"/>
      <c r="V43" s="95" t="s">
        <v>0</v>
      </c>
      <c r="W43" s="96"/>
      <c r="X43" s="118" t="str">
        <f>C43</f>
        <v>BOOKING W 2</v>
      </c>
      <c r="Y43" s="119"/>
      <c r="Z43" s="119"/>
      <c r="AA43" s="119"/>
      <c r="AB43" s="119"/>
      <c r="AC43" s="120"/>
      <c r="AD43" s="116" t="str">
        <f>I43</f>
        <v>12-18/10/2026</v>
      </c>
      <c r="AE43" s="117"/>
      <c r="AF43" s="117"/>
      <c r="AG43" s="106" t="s">
        <v>14</v>
      </c>
      <c r="AH43" s="107"/>
      <c r="AI43" s="107"/>
      <c r="AJ43" s="107"/>
      <c r="AK43" s="107"/>
      <c r="AL43" s="107"/>
      <c r="AM43" s="107"/>
      <c r="AN43" s="107"/>
      <c r="AO43" s="108"/>
    </row>
    <row r="44" spans="1:45" ht="16.149999999999999" customHeight="1">
      <c r="A44" s="97"/>
      <c r="B44" s="98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7"/>
      <c r="W44" s="98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28</v>
      </c>
      <c r="D45" s="54"/>
      <c r="E45" s="54">
        <v>27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-29</v>
      </c>
      <c r="M45" s="63">
        <f t="shared" ref="L45:T52" si="15">SUM(M31-D45)</f>
        <v>0</v>
      </c>
      <c r="N45" s="63">
        <f t="shared" si="15"/>
        <v>-1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16</v>
      </c>
      <c r="D46" s="54"/>
      <c r="E46" s="54">
        <v>19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-11</v>
      </c>
      <c r="M46" s="63">
        <f t="shared" si="15"/>
        <v>0</v>
      </c>
      <c r="N46" s="63">
        <f t="shared" si="15"/>
        <v>56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87</v>
      </c>
      <c r="D48" s="54"/>
      <c r="E48" s="54">
        <v>58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31</v>
      </c>
      <c r="M48" s="63">
        <f t="shared" si="15"/>
        <v>0</v>
      </c>
      <c r="N48" s="63">
        <f>SUM(N34-E48)</f>
        <v>81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391</v>
      </c>
      <c r="D49" s="54"/>
      <c r="E49" s="54">
        <v>190</v>
      </c>
      <c r="F49" s="54">
        <v>2</v>
      </c>
      <c r="G49" s="54">
        <v>19</v>
      </c>
      <c r="H49" s="54"/>
      <c r="I49" s="54"/>
      <c r="J49" s="54"/>
      <c r="K49" s="54"/>
      <c r="L49" s="62">
        <f t="shared" si="15"/>
        <v>597</v>
      </c>
      <c r="M49" s="63">
        <f t="shared" si="15"/>
        <v>0</v>
      </c>
      <c r="N49" s="63">
        <f>SUM(N35-E49)</f>
        <v>454</v>
      </c>
      <c r="O49" s="63">
        <f>SUM(O35-F49)</f>
        <v>33</v>
      </c>
      <c r="P49" s="63">
        <f>SUM(P35-G49)</f>
        <v>20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228</v>
      </c>
      <c r="Y50" s="54"/>
      <c r="Z50" s="54">
        <v>138</v>
      </c>
      <c r="AA50" s="54">
        <v>2</v>
      </c>
      <c r="AB50" s="54">
        <v>27</v>
      </c>
      <c r="AC50" s="54"/>
      <c r="AD50" s="54"/>
      <c r="AE50" s="54"/>
      <c r="AF50" s="54"/>
      <c r="AG50" s="62">
        <f>SUM(AG36-X50)</f>
        <v>977</v>
      </c>
      <c r="AH50" s="63">
        <f>SUM(AH36-Y50)</f>
        <v>0</v>
      </c>
      <c r="AI50" s="63">
        <f t="shared" si="16"/>
        <v>641</v>
      </c>
      <c r="AJ50" s="63">
        <f t="shared" si="16"/>
        <v>6</v>
      </c>
      <c r="AK50" s="63">
        <f t="shared" si="16"/>
        <v>5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126</v>
      </c>
      <c r="Y51" s="54"/>
      <c r="Z51" s="68">
        <v>64</v>
      </c>
      <c r="AA51" s="54"/>
      <c r="AB51" s="54"/>
      <c r="AC51" s="54"/>
      <c r="AD51" s="54"/>
      <c r="AE51" s="54"/>
      <c r="AF51" s="54"/>
      <c r="AG51" s="62">
        <f>SUM(AG37-X51)</f>
        <v>52</v>
      </c>
      <c r="AH51" s="63">
        <f t="shared" si="16"/>
        <v>0</v>
      </c>
      <c r="AI51" s="63">
        <f>SUM(AI37-Z51)</f>
        <v>58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>
        <v>1</v>
      </c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52</v>
      </c>
      <c r="Y52" s="54"/>
      <c r="Z52" s="54">
        <v>18</v>
      </c>
      <c r="AA52" s="54"/>
      <c r="AB52" s="54"/>
      <c r="AC52" s="54"/>
      <c r="AD52" s="54"/>
      <c r="AE52" s="54">
        <v>0</v>
      </c>
      <c r="AF52" s="54"/>
      <c r="AG52" s="62">
        <f>SUM(AG38-X52)</f>
        <v>274</v>
      </c>
      <c r="AH52" s="63">
        <f t="shared" si="16"/>
        <v>0</v>
      </c>
      <c r="AI52" s="63">
        <f>SUM(AI38-Z52)</f>
        <v>165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3" t="s">
        <v>12</v>
      </c>
      <c r="B55" s="94"/>
      <c r="C55" s="6">
        <f t="shared" ref="C55:K55" si="18">SUM(C45:C54)</f>
        <v>523</v>
      </c>
      <c r="D55" s="6">
        <f t="shared" si="18"/>
        <v>0</v>
      </c>
      <c r="E55" s="6">
        <f t="shared" si="18"/>
        <v>294</v>
      </c>
      <c r="F55" s="6">
        <f t="shared" si="18"/>
        <v>2</v>
      </c>
      <c r="G55" s="6">
        <f t="shared" si="18"/>
        <v>19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609</v>
      </c>
      <c r="M55" s="24">
        <f>SUM(M45:M54)</f>
        <v>0</v>
      </c>
      <c r="N55" s="24">
        <f>SUM(N45:N54)</f>
        <v>597</v>
      </c>
      <c r="O55" s="24">
        <f t="shared" ref="O55:S55" si="19">SUM(O45:O54)</f>
        <v>33</v>
      </c>
      <c r="P55" s="24">
        <f t="shared" si="19"/>
        <v>20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3" t="s">
        <v>13</v>
      </c>
      <c r="W55" s="94"/>
      <c r="X55" s="6">
        <f t="shared" ref="X55:AF55" si="20">SUM(X45:X54)</f>
        <v>406</v>
      </c>
      <c r="Y55" s="6">
        <f t="shared" si="20"/>
        <v>0</v>
      </c>
      <c r="Z55" s="6">
        <f t="shared" si="20"/>
        <v>220</v>
      </c>
      <c r="AA55" s="6">
        <f t="shared" si="20"/>
        <v>2</v>
      </c>
      <c r="AB55" s="6">
        <f t="shared" si="20"/>
        <v>27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1303</v>
      </c>
      <c r="AH55" s="24">
        <f t="shared" ref="AH55:AO55" si="21">SUM(AH45:AH54)</f>
        <v>0</v>
      </c>
      <c r="AI55" s="24">
        <f t="shared" si="21"/>
        <v>864</v>
      </c>
      <c r="AJ55" s="24">
        <f t="shared" si="21"/>
        <v>6</v>
      </c>
      <c r="AK55" s="24">
        <f>SUM(AK45:AK54)</f>
        <v>5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7</v>
      </c>
    </row>
    <row r="57" spans="1:41" ht="16.899999999999999" customHeight="1">
      <c r="A57" s="2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V57" s="27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</row>
    <row r="58" spans="1:41" ht="16.899999999999999" customHeight="1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V58" s="27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</row>
    <row r="59" spans="1:41" ht="16.899999999999999" customHeight="1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</row>
    <row r="60" spans="1:41" ht="16.899999999999999" customHeight="1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W60" s="114" t="s">
        <v>44</v>
      </c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1611</v>
      </c>
      <c r="C3" s="43">
        <f>Daily!M15</f>
        <v>0</v>
      </c>
      <c r="D3" s="43">
        <f>Daily!N15</f>
        <v>1171</v>
      </c>
      <c r="E3" s="43">
        <f>Daily!O15</f>
        <v>43</v>
      </c>
      <c r="F3" s="43">
        <f>Daily!P15</f>
        <v>58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>
        <v>20</v>
      </c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20</v>
      </c>
      <c r="N5" s="79">
        <v>0</v>
      </c>
      <c r="O5" s="79">
        <v>3</v>
      </c>
      <c r="P5" s="84"/>
      <c r="Q5" s="83">
        <v>2025</v>
      </c>
      <c r="R5" s="79">
        <v>40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5</v>
      </c>
      <c r="N6" s="79">
        <v>0</v>
      </c>
      <c r="O6" s="79">
        <v>0</v>
      </c>
      <c r="P6" s="84"/>
      <c r="Q6" s="83">
        <v>2023</v>
      </c>
      <c r="R6" s="80">
        <v>5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203</v>
      </c>
      <c r="C7" s="43">
        <f>Daily!D15</f>
        <v>0</v>
      </c>
      <c r="D7" s="43">
        <f>Daily!E15</f>
        <v>101</v>
      </c>
      <c r="E7" s="43">
        <f>Daily!F15</f>
        <v>1</v>
      </c>
      <c r="F7" s="43">
        <f>Daily!G15</f>
        <v>9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2</v>
      </c>
      <c r="N7" s="79">
        <v>0</v>
      </c>
      <c r="O7" s="79">
        <v>0</v>
      </c>
      <c r="P7" s="84"/>
      <c r="Q7" s="80">
        <v>2021</v>
      </c>
      <c r="R7" s="80">
        <v>8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479</v>
      </c>
      <c r="C8" s="46">
        <f>Daily!D41</f>
        <v>0</v>
      </c>
      <c r="D8" s="46">
        <f>Daily!E41</f>
        <v>280</v>
      </c>
      <c r="E8" s="46">
        <f>Daily!F41</f>
        <v>8</v>
      </c>
      <c r="F8" s="46">
        <f>Daily!G41</f>
        <v>19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7</v>
      </c>
      <c r="N8" s="79">
        <v>0</v>
      </c>
      <c r="O8" s="79">
        <v>0</v>
      </c>
      <c r="P8" s="84"/>
      <c r="Q8" s="80">
        <v>2020</v>
      </c>
      <c r="R8" s="80">
        <v>4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523</v>
      </c>
      <c r="C9" s="46">
        <f>Daily!D55</f>
        <v>0</v>
      </c>
      <c r="D9" s="46">
        <f>Daily!E55</f>
        <v>294</v>
      </c>
      <c r="E9" s="46">
        <f>Daily!F55</f>
        <v>2</v>
      </c>
      <c r="F9" s="46">
        <f>Daily!G55</f>
        <v>19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34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57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832</v>
      </c>
      <c r="C10" s="48">
        <f t="shared" ref="C10:J10" si="0">(C3+C4+C5+C6+C7)-(C8+C9)</f>
        <v>0</v>
      </c>
      <c r="D10" s="48">
        <f t="shared" si="0"/>
        <v>698</v>
      </c>
      <c r="E10" s="48">
        <f t="shared" si="0"/>
        <v>34</v>
      </c>
      <c r="F10" s="48">
        <f t="shared" si="0"/>
        <v>29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2131</v>
      </c>
      <c r="C15" s="43">
        <f>Daily!AH15</f>
        <v>0</v>
      </c>
      <c r="D15" s="43">
        <f>Daily!AI15</f>
        <v>1440</v>
      </c>
      <c r="E15" s="43">
        <f>Daily!AJ15</f>
        <v>12</v>
      </c>
      <c r="F15" s="43">
        <f>Daily!AK15</f>
        <v>68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7</v>
      </c>
    </row>
    <row r="16" spans="1:20" ht="15.75" thickBot="1">
      <c r="A16" s="42" t="s">
        <v>38</v>
      </c>
      <c r="B16" s="43">
        <v>70</v>
      </c>
      <c r="C16" s="43"/>
      <c r="D16" s="43">
        <v>50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185</v>
      </c>
      <c r="C19" s="43">
        <f>Daily!Y15</f>
        <v>0</v>
      </c>
      <c r="D19" s="43">
        <f>Daily!Z15</f>
        <v>230</v>
      </c>
      <c r="E19" s="43">
        <f>Daily!AA15</f>
        <v>0</v>
      </c>
      <c r="F19" s="43">
        <f>Daily!AB15</f>
        <v>27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(05-11/10)2026</v>
      </c>
      <c r="B20" s="46">
        <f>Daily!X41</f>
        <v>418</v>
      </c>
      <c r="C20" s="46">
        <f>Daily!Y41</f>
        <v>0</v>
      </c>
      <c r="D20" s="46">
        <f>Daily!Z41</f>
        <v>338</v>
      </c>
      <c r="E20" s="46">
        <f>Daily!AA41</f>
        <v>4</v>
      </c>
      <c r="F20" s="46">
        <f>Daily!AB41</f>
        <v>36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(12-18/10)2026</v>
      </c>
      <c r="B21" s="46">
        <f>Daily!X55</f>
        <v>406</v>
      </c>
      <c r="C21" s="46">
        <f>Daily!Y55</f>
        <v>0</v>
      </c>
      <c r="D21" s="46">
        <f>Daily!Z55</f>
        <v>220</v>
      </c>
      <c r="E21" s="46">
        <f>Daily!AA55</f>
        <v>2</v>
      </c>
      <c r="F21" s="46">
        <f>Daily!AB55</f>
        <v>27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1562</v>
      </c>
      <c r="C22" s="48">
        <f t="shared" ref="C22:J22" si="1">(C15+C16+C17+C18+C19)-(C20+C21)</f>
        <v>0</v>
      </c>
      <c r="D22" s="48">
        <f>(D15+D16+D17+D18+D19)-(D20+D21)</f>
        <v>1162</v>
      </c>
      <c r="E22" s="48">
        <f>(E15+E16+E17+E18+E19)-(E20+E21)</f>
        <v>6</v>
      </c>
      <c r="F22" s="48">
        <f>(F15+F16+F17+F18+F19)-(F20+F21)</f>
        <v>32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7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20</v>
      </c>
      <c r="C4" s="79">
        <v>0</v>
      </c>
      <c r="D4" s="79">
        <v>3</v>
      </c>
      <c r="E4" s="84"/>
      <c r="F4" s="83">
        <v>2025</v>
      </c>
      <c r="G4" s="79">
        <v>40</v>
      </c>
      <c r="H4" s="79">
        <v>0</v>
      </c>
      <c r="I4" s="79">
        <v>0</v>
      </c>
    </row>
    <row r="5" spans="1:9" ht="15.75" customHeight="1">
      <c r="A5" s="83">
        <v>2023</v>
      </c>
      <c r="B5" s="79">
        <v>5</v>
      </c>
      <c r="C5" s="79">
        <v>0</v>
      </c>
      <c r="D5" s="79">
        <v>0</v>
      </c>
      <c r="E5" s="84"/>
      <c r="F5" s="83">
        <v>2023</v>
      </c>
      <c r="G5" s="80">
        <v>5</v>
      </c>
      <c r="H5" s="79">
        <v>0</v>
      </c>
      <c r="I5" s="79">
        <v>0</v>
      </c>
    </row>
    <row r="6" spans="1:9" ht="15.75" customHeight="1">
      <c r="A6" s="80">
        <v>2021</v>
      </c>
      <c r="B6" s="79">
        <v>2</v>
      </c>
      <c r="C6" s="79">
        <v>0</v>
      </c>
      <c r="D6" s="79">
        <v>0</v>
      </c>
      <c r="E6" s="84"/>
      <c r="F6" s="80">
        <v>2021</v>
      </c>
      <c r="G6" s="80">
        <v>8</v>
      </c>
      <c r="H6" s="79">
        <v>0</v>
      </c>
      <c r="I6" s="79">
        <v>0</v>
      </c>
    </row>
    <row r="7" spans="1:9" ht="15.75" customHeight="1">
      <c r="A7" s="80">
        <v>2020</v>
      </c>
      <c r="B7" s="79">
        <v>7</v>
      </c>
      <c r="C7" s="79">
        <v>0</v>
      </c>
      <c r="D7" s="79">
        <v>0</v>
      </c>
      <c r="E7" s="84"/>
      <c r="F7" s="80">
        <v>2020</v>
      </c>
      <c r="G7" s="80">
        <v>4</v>
      </c>
      <c r="H7" s="79">
        <v>0</v>
      </c>
      <c r="I7" s="79">
        <v>0</v>
      </c>
    </row>
    <row r="8" spans="1:9" ht="15.75" customHeight="1">
      <c r="A8" s="80">
        <v>2019</v>
      </c>
      <c r="B8" s="79">
        <v>4</v>
      </c>
      <c r="C8" s="79">
        <v>0</v>
      </c>
      <c r="D8" s="79">
        <v>0</v>
      </c>
      <c r="E8" s="84"/>
      <c r="F8" s="80">
        <v>2019</v>
      </c>
      <c r="G8" s="80">
        <v>1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 t="s">
        <v>59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41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58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2026-10-05T03:42:43Z</dcterms:modified>
</cp:coreProperties>
</file>
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05--Southsides\Daily Inventory Report\"/>
    </mc:Choice>
  </mc:AlternateContent>
  <xr:revisionPtr revIDLastSave="0" documentId="13_ncr:1_{B66136AB-5D27-423F-9B08-D23E0244C78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ily" sheetId="1" r:id="rId1"/>
    <sheet name="RF SEASONAL" sheetId="2" r:id="rId2"/>
    <sheet name="NEW FORMA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0" i="3" l="1"/>
  <c r="L19" i="3"/>
  <c r="K15" i="3"/>
  <c r="J15" i="3"/>
  <c r="I15" i="3"/>
  <c r="H15" i="3"/>
  <c r="G15" i="3"/>
  <c r="F15" i="3"/>
  <c r="E15" i="3"/>
  <c r="D15" i="3"/>
  <c r="C15" i="3"/>
  <c r="H14" i="3"/>
  <c r="E14" i="3"/>
  <c r="D14" i="3"/>
  <c r="C14" i="3"/>
  <c r="L9" i="3"/>
  <c r="K9" i="3"/>
  <c r="J9" i="3"/>
  <c r="I9" i="3"/>
  <c r="H9" i="3"/>
  <c r="L8" i="3"/>
  <c r="I8" i="3"/>
  <c r="H8" i="3"/>
  <c r="G8" i="3"/>
  <c r="F8" i="3"/>
  <c r="K4" i="3"/>
  <c r="J4" i="3"/>
  <c r="I4" i="3"/>
  <c r="H4" i="3"/>
  <c r="G4" i="3"/>
  <c r="F4" i="3"/>
  <c r="E4" i="3"/>
  <c r="D4" i="3"/>
  <c r="C4" i="3"/>
  <c r="K3" i="3"/>
  <c r="J3" i="3"/>
  <c r="I3" i="3"/>
  <c r="H3" i="3"/>
  <c r="G3" i="3"/>
  <c r="I8" i="2"/>
  <c r="H8" i="2"/>
  <c r="G8" i="2"/>
  <c r="D8" i="2"/>
  <c r="C8" i="2"/>
  <c r="B8" i="2"/>
  <c r="AF55" i="1"/>
  <c r="K20" i="3" s="1"/>
  <c r="AE55" i="1"/>
  <c r="J20" i="3" s="1"/>
  <c r="AD55" i="1"/>
  <c r="I20" i="3" s="1"/>
  <c r="AC55" i="1"/>
  <c r="H20" i="3" s="1"/>
  <c r="AB55" i="1"/>
  <c r="G20" i="3" s="1"/>
  <c r="AA55" i="1"/>
  <c r="F20" i="3" s="1"/>
  <c r="Z55" i="1"/>
  <c r="E20" i="3" s="1"/>
  <c r="Y55" i="1"/>
  <c r="D20" i="3" s="1"/>
  <c r="X55" i="1"/>
  <c r="C20" i="3" s="1"/>
  <c r="K55" i="1"/>
  <c r="J55" i="1"/>
  <c r="I55" i="1"/>
  <c r="H55" i="1"/>
  <c r="G55" i="1"/>
  <c r="G9" i="3" s="1"/>
  <c r="F55" i="1"/>
  <c r="F9" i="3" s="1"/>
  <c r="E55" i="1"/>
  <c r="E9" i="3" s="1"/>
  <c r="D55" i="1"/>
  <c r="D9" i="3" s="1"/>
  <c r="C55" i="1"/>
  <c r="C9" i="3" s="1"/>
  <c r="AN52" i="1"/>
  <c r="P52" i="1"/>
  <c r="AH51" i="1"/>
  <c r="AN50" i="1"/>
  <c r="P50" i="1"/>
  <c r="AH49" i="1"/>
  <c r="AN48" i="1"/>
  <c r="AN46" i="1"/>
  <c r="AN41" i="1"/>
  <c r="AF41" i="1"/>
  <c r="K19" i="3" s="1"/>
  <c r="AE41" i="1"/>
  <c r="J19" i="3" s="1"/>
  <c r="AD41" i="1"/>
  <c r="I19" i="3" s="1"/>
  <c r="AC41" i="1"/>
  <c r="H19" i="3" s="1"/>
  <c r="AB41" i="1"/>
  <c r="G19" i="3" s="1"/>
  <c r="AA41" i="1"/>
  <c r="F19" i="3" s="1"/>
  <c r="Z41" i="1"/>
  <c r="E19" i="3" s="1"/>
  <c r="Y41" i="1"/>
  <c r="D19" i="3" s="1"/>
  <c r="X41" i="1"/>
  <c r="C19" i="3" s="1"/>
  <c r="O41" i="1"/>
  <c r="N41" i="1"/>
  <c r="M41" i="1"/>
  <c r="K41" i="1"/>
  <c r="K8" i="3" s="1"/>
  <c r="J41" i="1"/>
  <c r="J8" i="3" s="1"/>
  <c r="I41" i="1"/>
  <c r="H41" i="1"/>
  <c r="G41" i="1"/>
  <c r="F41" i="1"/>
  <c r="E41" i="1"/>
  <c r="E8" i="3" s="1"/>
  <c r="D41" i="1"/>
  <c r="D8" i="3" s="1"/>
  <c r="C41" i="1"/>
  <c r="C8" i="3" s="1"/>
  <c r="AO40" i="1"/>
  <c r="AO54" i="1" s="1"/>
  <c r="AN40" i="1"/>
  <c r="AN54" i="1" s="1"/>
  <c r="AM40" i="1"/>
  <c r="AM54" i="1" s="1"/>
  <c r="AL40" i="1"/>
  <c r="AL54" i="1" s="1"/>
  <c r="AK40" i="1"/>
  <c r="AK54" i="1" s="1"/>
  <c r="AJ40" i="1"/>
  <c r="AJ54" i="1" s="1"/>
  <c r="AI40" i="1"/>
  <c r="AI54" i="1" s="1"/>
  <c r="AH40" i="1"/>
  <c r="AH54" i="1" s="1"/>
  <c r="AG40" i="1"/>
  <c r="AG54" i="1" s="1"/>
  <c r="T40" i="1"/>
  <c r="T54" i="1" s="1"/>
  <c r="S40" i="1"/>
  <c r="S54" i="1" s="1"/>
  <c r="R40" i="1"/>
  <c r="R54" i="1" s="1"/>
  <c r="Q40" i="1"/>
  <c r="Q54" i="1" s="1"/>
  <c r="P40" i="1"/>
  <c r="P54" i="1" s="1"/>
  <c r="O40" i="1"/>
  <c r="O54" i="1" s="1"/>
  <c r="N40" i="1"/>
  <c r="N54" i="1" s="1"/>
  <c r="M40" i="1"/>
  <c r="M54" i="1" s="1"/>
  <c r="L40" i="1"/>
  <c r="L54" i="1" s="1"/>
  <c r="AO39" i="1"/>
  <c r="AO53" i="1" s="1"/>
  <c r="AN39" i="1"/>
  <c r="AN53" i="1" s="1"/>
  <c r="AM39" i="1"/>
  <c r="AM53" i="1" s="1"/>
  <c r="AL39" i="1"/>
  <c r="AL53" i="1" s="1"/>
  <c r="AK39" i="1"/>
  <c r="AK53" i="1" s="1"/>
  <c r="AJ39" i="1"/>
  <c r="AJ53" i="1" s="1"/>
  <c r="AI39" i="1"/>
  <c r="AI53" i="1" s="1"/>
  <c r="AH39" i="1"/>
  <c r="AH53" i="1" s="1"/>
  <c r="AG39" i="1"/>
  <c r="AG53" i="1" s="1"/>
  <c r="T39" i="1"/>
  <c r="T53" i="1" s="1"/>
  <c r="S39" i="1"/>
  <c r="S53" i="1" s="1"/>
  <c r="R39" i="1"/>
  <c r="R53" i="1" s="1"/>
  <c r="Q39" i="1"/>
  <c r="Q53" i="1" s="1"/>
  <c r="P39" i="1"/>
  <c r="P53" i="1" s="1"/>
  <c r="O39" i="1"/>
  <c r="O53" i="1" s="1"/>
  <c r="N39" i="1"/>
  <c r="N53" i="1" s="1"/>
  <c r="M39" i="1"/>
  <c r="M53" i="1" s="1"/>
  <c r="L39" i="1"/>
  <c r="L53" i="1" s="1"/>
  <c r="AO38" i="1"/>
  <c r="AO52" i="1" s="1"/>
  <c r="AN38" i="1"/>
  <c r="AM38" i="1"/>
  <c r="AM52" i="1" s="1"/>
  <c r="AL38" i="1"/>
  <c r="AL52" i="1" s="1"/>
  <c r="AK38" i="1"/>
  <c r="AK52" i="1" s="1"/>
  <c r="AJ38" i="1"/>
  <c r="AJ52" i="1" s="1"/>
  <c r="AI38" i="1"/>
  <c r="AI52" i="1" s="1"/>
  <c r="AH38" i="1"/>
  <c r="AH52" i="1" s="1"/>
  <c r="AG38" i="1"/>
  <c r="AG52" i="1" s="1"/>
  <c r="T38" i="1"/>
  <c r="T52" i="1" s="1"/>
  <c r="S38" i="1"/>
  <c r="S52" i="1" s="1"/>
  <c r="R38" i="1"/>
  <c r="R52" i="1" s="1"/>
  <c r="Q38" i="1"/>
  <c r="Q52" i="1" s="1"/>
  <c r="P38" i="1"/>
  <c r="O38" i="1"/>
  <c r="O52" i="1" s="1"/>
  <c r="N38" i="1"/>
  <c r="N52" i="1" s="1"/>
  <c r="M38" i="1"/>
  <c r="M52" i="1" s="1"/>
  <c r="L38" i="1"/>
  <c r="L52" i="1" s="1"/>
  <c r="AO37" i="1"/>
  <c r="AO51" i="1" s="1"/>
  <c r="AN37" i="1"/>
  <c r="AN51" i="1" s="1"/>
  <c r="AM37" i="1"/>
  <c r="AM51" i="1" s="1"/>
  <c r="AL37" i="1"/>
  <c r="AL51" i="1" s="1"/>
  <c r="AK37" i="1"/>
  <c r="AK51" i="1" s="1"/>
  <c r="AJ37" i="1"/>
  <c r="AJ51" i="1" s="1"/>
  <c r="AI37" i="1"/>
  <c r="AI51" i="1" s="1"/>
  <c r="AH37" i="1"/>
  <c r="AG37" i="1"/>
  <c r="AG51" i="1" s="1"/>
  <c r="T37" i="1"/>
  <c r="T51" i="1" s="1"/>
  <c r="S37" i="1"/>
  <c r="S51" i="1" s="1"/>
  <c r="R37" i="1"/>
  <c r="R51" i="1" s="1"/>
  <c r="Q37" i="1"/>
  <c r="Q51" i="1" s="1"/>
  <c r="P37" i="1"/>
  <c r="P51" i="1" s="1"/>
  <c r="O37" i="1"/>
  <c r="O51" i="1" s="1"/>
  <c r="N37" i="1"/>
  <c r="N51" i="1" s="1"/>
  <c r="M37" i="1"/>
  <c r="M51" i="1" s="1"/>
  <c r="L37" i="1"/>
  <c r="L51" i="1" s="1"/>
  <c r="AO36" i="1"/>
  <c r="AO50" i="1" s="1"/>
  <c r="AN36" i="1"/>
  <c r="AM36" i="1"/>
  <c r="AM50" i="1" s="1"/>
  <c r="AL36" i="1"/>
  <c r="AL50" i="1" s="1"/>
  <c r="AK36" i="1"/>
  <c r="AK50" i="1" s="1"/>
  <c r="AJ36" i="1"/>
  <c r="AJ50" i="1" s="1"/>
  <c r="AI36" i="1"/>
  <c r="AI50" i="1" s="1"/>
  <c r="AH36" i="1"/>
  <c r="AH50" i="1" s="1"/>
  <c r="AG36" i="1"/>
  <c r="AG50" i="1" s="1"/>
  <c r="T36" i="1"/>
  <c r="T50" i="1" s="1"/>
  <c r="S36" i="1"/>
  <c r="S50" i="1" s="1"/>
  <c r="R36" i="1"/>
  <c r="R50" i="1" s="1"/>
  <c r="Q36" i="1"/>
  <c r="Q50" i="1" s="1"/>
  <c r="P36" i="1"/>
  <c r="O36" i="1"/>
  <c r="O50" i="1" s="1"/>
  <c r="N36" i="1"/>
  <c r="N50" i="1" s="1"/>
  <c r="M36" i="1"/>
  <c r="M50" i="1" s="1"/>
  <c r="L36" i="1"/>
  <c r="L50" i="1" s="1"/>
  <c r="AO35" i="1"/>
  <c r="AO49" i="1" s="1"/>
  <c r="AN35" i="1"/>
  <c r="AN49" i="1" s="1"/>
  <c r="AM35" i="1"/>
  <c r="AM49" i="1" s="1"/>
  <c r="AL35" i="1"/>
  <c r="AL49" i="1" s="1"/>
  <c r="AK35" i="1"/>
  <c r="AK49" i="1" s="1"/>
  <c r="AJ35" i="1"/>
  <c r="AJ49" i="1" s="1"/>
  <c r="AI35" i="1"/>
  <c r="AI49" i="1" s="1"/>
  <c r="AH35" i="1"/>
  <c r="AG35" i="1"/>
  <c r="AG49" i="1" s="1"/>
  <c r="T35" i="1"/>
  <c r="T49" i="1" s="1"/>
  <c r="S35" i="1"/>
  <c r="S49" i="1" s="1"/>
  <c r="R35" i="1"/>
  <c r="R49" i="1" s="1"/>
  <c r="Q35" i="1"/>
  <c r="Q49" i="1" s="1"/>
  <c r="P35" i="1"/>
  <c r="P49" i="1" s="1"/>
  <c r="O35" i="1"/>
  <c r="O49" i="1" s="1"/>
  <c r="N35" i="1"/>
  <c r="N49" i="1" s="1"/>
  <c r="M35" i="1"/>
  <c r="M49" i="1" s="1"/>
  <c r="L35" i="1"/>
  <c r="L49" i="1" s="1"/>
  <c r="AO34" i="1"/>
  <c r="AO48" i="1" s="1"/>
  <c r="AN34" i="1"/>
  <c r="AM34" i="1"/>
  <c r="AM48" i="1" s="1"/>
  <c r="AL34" i="1"/>
  <c r="AL48" i="1" s="1"/>
  <c r="AK34" i="1"/>
  <c r="AK48" i="1" s="1"/>
  <c r="AJ34" i="1"/>
  <c r="AJ48" i="1" s="1"/>
  <c r="AI34" i="1"/>
  <c r="AI48" i="1" s="1"/>
  <c r="AH34" i="1"/>
  <c r="AH48" i="1" s="1"/>
  <c r="AG34" i="1"/>
  <c r="AG48" i="1" s="1"/>
  <c r="T34" i="1"/>
  <c r="T48" i="1" s="1"/>
  <c r="S34" i="1"/>
  <c r="S48" i="1" s="1"/>
  <c r="R34" i="1"/>
  <c r="R48" i="1" s="1"/>
  <c r="Q34" i="1"/>
  <c r="Q48" i="1" s="1"/>
  <c r="P34" i="1"/>
  <c r="P48" i="1" s="1"/>
  <c r="O34" i="1"/>
  <c r="O48" i="1" s="1"/>
  <c r="N34" i="1"/>
  <c r="N48" i="1" s="1"/>
  <c r="M34" i="1"/>
  <c r="M48" i="1" s="1"/>
  <c r="L34" i="1"/>
  <c r="L48" i="1" s="1"/>
  <c r="AO33" i="1"/>
  <c r="AO47" i="1" s="1"/>
  <c r="AN33" i="1"/>
  <c r="AN47" i="1" s="1"/>
  <c r="AM33" i="1"/>
  <c r="AM47" i="1" s="1"/>
  <c r="AL33" i="1"/>
  <c r="AL47" i="1" s="1"/>
  <c r="AK33" i="1"/>
  <c r="AK47" i="1" s="1"/>
  <c r="AJ33" i="1"/>
  <c r="AJ47" i="1" s="1"/>
  <c r="AI33" i="1"/>
  <c r="AI47" i="1" s="1"/>
  <c r="AH33" i="1"/>
  <c r="AH47" i="1" s="1"/>
  <c r="AG33" i="1"/>
  <c r="AG47" i="1" s="1"/>
  <c r="T33" i="1"/>
  <c r="T47" i="1" s="1"/>
  <c r="S33" i="1"/>
  <c r="S47" i="1" s="1"/>
  <c r="R33" i="1"/>
  <c r="R47" i="1" s="1"/>
  <c r="Q33" i="1"/>
  <c r="Q47" i="1" s="1"/>
  <c r="P33" i="1"/>
  <c r="P47" i="1" s="1"/>
  <c r="O33" i="1"/>
  <c r="O47" i="1" s="1"/>
  <c r="N33" i="1"/>
  <c r="N47" i="1" s="1"/>
  <c r="M33" i="1"/>
  <c r="M47" i="1" s="1"/>
  <c r="L33" i="1"/>
  <c r="L47" i="1" s="1"/>
  <c r="AO32" i="1"/>
  <c r="AN32" i="1"/>
  <c r="AM32" i="1"/>
  <c r="AM46" i="1" s="1"/>
  <c r="AL32" i="1"/>
  <c r="AL46" i="1" s="1"/>
  <c r="AK32" i="1"/>
  <c r="AK46" i="1" s="1"/>
  <c r="AJ32" i="1"/>
  <c r="AJ46" i="1" s="1"/>
  <c r="AI32" i="1"/>
  <c r="AI46" i="1" s="1"/>
  <c r="AH32" i="1"/>
  <c r="AH46" i="1" s="1"/>
  <c r="AG32" i="1"/>
  <c r="AG46" i="1" s="1"/>
  <c r="T32" i="1"/>
  <c r="T46" i="1" s="1"/>
  <c r="S32" i="1"/>
  <c r="S46" i="1" s="1"/>
  <c r="R32" i="1"/>
  <c r="R41" i="1" s="1"/>
  <c r="Q32" i="1"/>
  <c r="Q46" i="1" s="1"/>
  <c r="P32" i="1"/>
  <c r="P41" i="1" s="1"/>
  <c r="O32" i="1"/>
  <c r="O46" i="1" s="1"/>
  <c r="N32" i="1"/>
  <c r="N46" i="1" s="1"/>
  <c r="M32" i="1"/>
  <c r="M46" i="1" s="1"/>
  <c r="L32" i="1"/>
  <c r="L46" i="1" s="1"/>
  <c r="AO31" i="1"/>
  <c r="AO45" i="1" s="1"/>
  <c r="AN31" i="1"/>
  <c r="AN45" i="1" s="1"/>
  <c r="AN55" i="1" s="1"/>
  <c r="AM31" i="1"/>
  <c r="AM41" i="1" s="1"/>
  <c r="AL31" i="1"/>
  <c r="AL41" i="1" s="1"/>
  <c r="AK31" i="1"/>
  <c r="AK41" i="1" s="1"/>
  <c r="AJ31" i="1"/>
  <c r="AJ41" i="1" s="1"/>
  <c r="AI31" i="1"/>
  <c r="AI45" i="1" s="1"/>
  <c r="AH31" i="1"/>
  <c r="AH41" i="1" s="1"/>
  <c r="AG31" i="1"/>
  <c r="AG45" i="1" s="1"/>
  <c r="T31" i="1"/>
  <c r="T45" i="1" s="1"/>
  <c r="T55" i="1" s="1"/>
  <c r="S31" i="1"/>
  <c r="S45" i="1" s="1"/>
  <c r="S55" i="1" s="1"/>
  <c r="R31" i="1"/>
  <c r="R45" i="1" s="1"/>
  <c r="Q31" i="1"/>
  <c r="Q45" i="1" s="1"/>
  <c r="Q55" i="1" s="1"/>
  <c r="P31" i="1"/>
  <c r="P45" i="1" s="1"/>
  <c r="O31" i="1"/>
  <c r="O45" i="1" s="1"/>
  <c r="O55" i="1" s="1"/>
  <c r="N31" i="1"/>
  <c r="N45" i="1" s="1"/>
  <c r="M31" i="1"/>
  <c r="M45" i="1" s="1"/>
  <c r="L31" i="1"/>
  <c r="L41" i="1" s="1"/>
  <c r="AO15" i="1"/>
  <c r="K14" i="3" s="1"/>
  <c r="AN15" i="1"/>
  <c r="J14" i="3" s="1"/>
  <c r="AM15" i="1"/>
  <c r="I14" i="3" s="1"/>
  <c r="I21" i="3" s="1"/>
  <c r="AL15" i="1"/>
  <c r="AK15" i="1"/>
  <c r="G14" i="3" s="1"/>
  <c r="AJ15" i="1"/>
  <c r="F14" i="3" s="1"/>
  <c r="F21" i="3" s="1"/>
  <c r="AI15" i="1"/>
  <c r="AH15" i="1"/>
  <c r="AG15" i="1"/>
  <c r="AF15" i="1"/>
  <c r="K18" i="3" s="1"/>
  <c r="AE15" i="1"/>
  <c r="J18" i="3" s="1"/>
  <c r="AD15" i="1"/>
  <c r="I18" i="3" s="1"/>
  <c r="AC15" i="1"/>
  <c r="H18" i="3" s="1"/>
  <c r="AB15" i="1"/>
  <c r="G18" i="3" s="1"/>
  <c r="AA15" i="1"/>
  <c r="F18" i="3" s="1"/>
  <c r="Z15" i="1"/>
  <c r="E18" i="3" s="1"/>
  <c r="Y15" i="1"/>
  <c r="D18" i="3" s="1"/>
  <c r="X15" i="1"/>
  <c r="C18" i="3" s="1"/>
  <c r="T15" i="1"/>
  <c r="S15" i="1"/>
  <c r="R15" i="1"/>
  <c r="Q15" i="1"/>
  <c r="P15" i="1"/>
  <c r="O15" i="1"/>
  <c r="F3" i="3" s="1"/>
  <c r="N15" i="1"/>
  <c r="E3" i="3" s="1"/>
  <c r="E10" i="3" s="1"/>
  <c r="M15" i="1"/>
  <c r="D3" i="3" s="1"/>
  <c r="D10" i="3" s="1"/>
  <c r="L15" i="1"/>
  <c r="C3" i="3" s="1"/>
  <c r="C10" i="3" s="1"/>
  <c r="K15" i="1"/>
  <c r="K7" i="3" s="1"/>
  <c r="J15" i="1"/>
  <c r="J7" i="3" s="1"/>
  <c r="I15" i="1"/>
  <c r="I7" i="3" s="1"/>
  <c r="H15" i="1"/>
  <c r="H7" i="3" s="1"/>
  <c r="G15" i="1"/>
  <c r="G7" i="3" s="1"/>
  <c r="F15" i="1"/>
  <c r="F7" i="3" s="1"/>
  <c r="E15" i="1"/>
  <c r="E7" i="3" s="1"/>
  <c r="D15" i="1"/>
  <c r="D7" i="3" s="1"/>
  <c r="C15" i="1"/>
  <c r="C7" i="3" s="1"/>
  <c r="R2" i="1"/>
  <c r="AM2" i="1" s="1"/>
  <c r="AO41" i="1" l="1"/>
  <c r="J10" i="3"/>
  <c r="H21" i="3"/>
  <c r="R55" i="1"/>
  <c r="J21" i="3"/>
  <c r="AH45" i="1"/>
  <c r="AH55" i="1" s="1"/>
  <c r="G21" i="3"/>
  <c r="K21" i="3"/>
  <c r="AI55" i="1"/>
  <c r="P46" i="1"/>
  <c r="P55" i="1" s="1"/>
  <c r="AG55" i="1"/>
  <c r="C21" i="3"/>
  <c r="M55" i="1"/>
  <c r="H10" i="3"/>
  <c r="K10" i="3"/>
  <c r="D21" i="3"/>
  <c r="F10" i="3"/>
  <c r="G10" i="3"/>
  <c r="N55" i="1"/>
  <c r="I10" i="3"/>
  <c r="E21" i="3"/>
  <c r="AO46" i="1"/>
  <c r="AO55" i="1" s="1"/>
  <c r="L45" i="1"/>
  <c r="L55" i="1" s="1"/>
  <c r="AJ45" i="1"/>
  <c r="AJ55" i="1" s="1"/>
  <c r="R46" i="1"/>
  <c r="AK45" i="1"/>
  <c r="AK55" i="1" s="1"/>
  <c r="Q41" i="1"/>
  <c r="AM45" i="1"/>
  <c r="AM55" i="1" s="1"/>
  <c r="AL45" i="1"/>
  <c r="AL55" i="1" s="1"/>
  <c r="AG41" i="1"/>
  <c r="T41" i="1"/>
  <c r="AI41" i="1"/>
  <c r="S41" i="1"/>
</calcChain>
</file>

<file path=xl/sharedStrings.xml><?xml version="1.0" encoding="utf-8"?>
<sst xmlns="http://schemas.openxmlformats.org/spreadsheetml/2006/main" count="305" uniqueCount="60">
  <si>
    <t>DAILY CONTAINER STOCK</t>
  </si>
  <si>
    <t>DATE:</t>
  </si>
  <si>
    <t>LOCATION</t>
  </si>
  <si>
    <t>FULL INBOUND (BKK)</t>
  </si>
  <si>
    <t>CURRENT STOCK (BKK)</t>
  </si>
  <si>
    <t>FULL INBOUND (LCH)</t>
  </si>
  <si>
    <t>CURRENT STOCK (LCH)</t>
  </si>
  <si>
    <t>22GP</t>
  </si>
  <si>
    <t>42GP</t>
  </si>
  <si>
    <t>45GP</t>
  </si>
  <si>
    <t>22RE</t>
  </si>
  <si>
    <t>45RE</t>
  </si>
  <si>
    <t>22UT</t>
  </si>
  <si>
    <t>42UT</t>
  </si>
  <si>
    <t>22PC</t>
  </si>
  <si>
    <t>42PC</t>
  </si>
  <si>
    <t>PAT</t>
  </si>
  <si>
    <t>TERMINAL</t>
  </si>
  <si>
    <t>LCMT</t>
  </si>
  <si>
    <t>UNITHAI</t>
  </si>
  <si>
    <t>ESCO</t>
  </si>
  <si>
    <t>ESCO #2</t>
  </si>
  <si>
    <t>ICD</t>
  </si>
  <si>
    <t>LCIT</t>
  </si>
  <si>
    <t>BMTP</t>
  </si>
  <si>
    <t>HPT</t>
  </si>
  <si>
    <t>SMART</t>
  </si>
  <si>
    <t>DEPOT</t>
  </si>
  <si>
    <t>HAST</t>
  </si>
  <si>
    <t>BC2</t>
  </si>
  <si>
    <t>CELLO</t>
  </si>
  <si>
    <t>PW</t>
  </si>
  <si>
    <t>LEASE IN</t>
  </si>
  <si>
    <t xml:space="preserve"> </t>
  </si>
  <si>
    <t>REPO (E/P)</t>
  </si>
  <si>
    <t>TOTAL AT BKK</t>
  </si>
  <si>
    <t>TOTAL AT LCH</t>
  </si>
  <si>
    <t>STOCK BALANCE END WK</t>
  </si>
  <si>
    <t>REPO IN（E/P）　　　　　　　　　</t>
  </si>
  <si>
    <t>BOOKING (BKK)</t>
  </si>
  <si>
    <t>29/09-04/10/2026</t>
  </si>
  <si>
    <t>STOCK BALANCE END WK (BKK)</t>
  </si>
  <si>
    <t>BOOKING (LCH)</t>
  </si>
  <si>
    <t>STOCK BALANCE END WK (LCH)</t>
  </si>
  <si>
    <t xml:space="preserve">   </t>
  </si>
  <si>
    <t>05-11/10/2026</t>
  </si>
  <si>
    <t>HAL (THBKK)</t>
  </si>
  <si>
    <t>HAL (THLCH)</t>
  </si>
  <si>
    <t>YEAR
BUILT</t>
  </si>
  <si>
    <t>CARRIER</t>
  </si>
  <si>
    <t>DAIKIN</t>
  </si>
  <si>
    <t>TRMK</t>
  </si>
  <si>
    <t>TOTAL</t>
  </si>
  <si>
    <t>Item</t>
  </si>
  <si>
    <t>Current Stock</t>
  </si>
  <si>
    <t>E/P In (this week)</t>
  </si>
  <si>
    <t>INBOUND MT RETURN</t>
  </si>
  <si>
    <t>Booking(This week)</t>
  </si>
  <si>
    <t>Booking(Next week)</t>
  </si>
  <si>
    <t>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</si>
</sst>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87" formatCode="[$-409]d\-mmm\-yyyy;@"/>
    <numFmt numFmtId="188" formatCode="0;\-0;;@"/>
    <numFmt numFmtId="189" formatCode="d/m/yyyy"/>
  </numFmts>
  <fonts count="25" x14ac:knownFonts="1">
    <font>
      <sz val="11"/>
      <color theme="1"/>
      <name val="Tahoma"/>
      <family val="2"/>
      <scheme val="minor"/>
    </font>
    <font>
      <sz val="10"/>
      <name val="Arial"/>
      <family val="2"/>
    </font>
    <font>
      <b/>
      <sz val="10"/>
      <color theme="1"/>
      <name val="Aptos"/>
      <family val="2"/>
    </font>
    <font>
      <sz val="10"/>
      <color theme="1"/>
      <name val="Aptos"/>
      <family val="2"/>
    </font>
    <font>
      <b/>
      <sz val="10"/>
      <name val="Aptos"/>
      <family val="2"/>
    </font>
    <font>
      <b/>
      <sz val="10"/>
      <color rgb="FF0000FF"/>
      <name val="Aptos"/>
      <family val="2"/>
    </font>
    <font>
      <sz val="10"/>
      <name val="Aptos"/>
      <family val="2"/>
    </font>
    <font>
      <sz val="10"/>
      <color rgb="FF0000FF"/>
      <name val="Aptos"/>
      <family val="2"/>
    </font>
    <font>
      <sz val="10"/>
      <color rgb="FFFF0000"/>
      <name val="Aptos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b/>
      <u/>
      <sz val="11"/>
      <name val="Calibri"/>
      <family val="2"/>
    </font>
    <font>
      <b/>
      <sz val="14"/>
      <color theme="8" tint="-0.499984740745262"/>
      <name val="Aptos"/>
      <family val="2"/>
    </font>
    <font>
      <sz val="10"/>
      <color rgb="FF000000"/>
      <name val="Aptos"/>
    </font>
    <font>
      <b/>
      <sz val="10"/>
      <color rgb="FF000000"/>
      <name val="Aptos"/>
    </font>
    <font>
      <sz val="10"/>
      <color rgb="FF0000FF"/>
      <name val="Aptos"/>
    </font>
    <font>
      <b/>
      <sz val="10"/>
      <color rgb="FF0000FF"/>
      <name val="Aptos"/>
    </font>
    <font>
      <b/>
      <sz val="11"/>
      <color rgb="FF0000FF"/>
      <name val="Calibri"/>
    </font>
    <font>
      <b/>
      <sz val="11"/>
      <color theme="1"/>
      <name val="Aptos"/>
      <family val="2"/>
    </font>
    <font>
      <b/>
      <sz val="11"/>
      <color rgb="FFFF0000"/>
      <name val="Calibri"/>
      <family val="2"/>
    </font>
    <font>
      <sz val="11"/>
      <color rgb="FFFF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7CE"/>
      </patternFill>
    </fill>
  </fills>
  <borders count="52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medium">
        <color indexed="64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34998626667073579"/>
      </bottom>
      <diagonal/>
    </border>
    <border>
      <left/>
      <right style="medium">
        <color indexed="64"/>
      </right>
      <top style="thin">
        <color theme="0" tint="-0.34998626667073579"/>
      </top>
      <bottom style="medium">
        <color indexed="64"/>
      </bottom>
      <diagonal/>
    </border>
    <border>
      <left style="medium">
        <color rgb="FF808080"/>
      </left>
      <right style="medium">
        <color rgb="FF808080"/>
      </right>
      <top/>
      <bottom style="medium">
        <color rgb="FF808080"/>
      </bottom>
      <diagonal/>
    </border>
    <border>
      <left/>
      <right style="medium">
        <color rgb="FF808080"/>
      </right>
      <top/>
      <bottom style="medium">
        <color rgb="FF808080"/>
      </bottom>
      <diagonal/>
    </border>
    <border>
      <left style="medium">
        <color indexed="64"/>
      </left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medium">
        <color indexed="64"/>
      </top>
      <bottom style="thin">
        <color theme="0" tint="-0.34998626667073579"/>
      </bottom>
      <diagonal/>
    </border>
    <border>
      <left/>
      <right style="medium">
        <color indexed="64"/>
      </right>
      <top/>
      <bottom style="thin">
        <color theme="0" tint="-0.34998626667073579"/>
      </bottom>
      <diagonal/>
    </border>
    <border>
      <left/>
      <right/>
      <top style="medium">
        <color indexed="64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/>
      <right/>
      <top style="medium">
        <color rgb="FF808080"/>
      </top>
      <bottom style="medium">
        <color rgb="FF808080"/>
      </bottom>
      <diagonal/>
    </border>
    <border>
      <left/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 style="medium">
        <color indexed="64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medium">
        <color indexed="64"/>
      </right>
      <top/>
      <bottom/>
      <diagonal/>
    </border>
    <border>
      <left style="thin">
        <color theme="0" tint="-0.34998626667073579"/>
      </left>
      <right style="medium">
        <color indexed="64"/>
      </right>
      <top/>
      <bottom style="thin">
        <color theme="0" tint="-0.34998626667073579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0" tint="-0.34998626667073579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 style="medium">
        <color rgb="FF808080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98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2" borderId="16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vertical="center"/>
    </xf>
    <xf numFmtId="0" fontId="3" fillId="0" borderId="10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/>
    </xf>
    <xf numFmtId="0" fontId="7" fillId="4" borderId="9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7" fillId="2" borderId="10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1" fillId="0" borderId="0" xfId="0" applyFont="1"/>
    <xf numFmtId="0" fontId="12" fillId="5" borderId="20" xfId="0" applyFont="1" applyFill="1" applyBorder="1" applyAlignment="1">
      <alignment horizontal="center" vertical="center"/>
    </xf>
    <xf numFmtId="0" fontId="12" fillId="5" borderId="21" xfId="0" applyFont="1" applyFill="1" applyBorder="1" applyAlignment="1">
      <alignment horizontal="center" vertical="center"/>
    </xf>
    <xf numFmtId="0" fontId="11" fillId="5" borderId="21" xfId="0" applyFont="1" applyFill="1" applyBorder="1" applyAlignment="1">
      <alignment horizontal="center" vertical="center"/>
    </xf>
    <xf numFmtId="0" fontId="12" fillId="0" borderId="20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0" fontId="12" fillId="7" borderId="20" xfId="0" applyFont="1" applyFill="1" applyBorder="1" applyAlignment="1">
      <alignment horizontal="center" vertical="center"/>
    </xf>
    <xf numFmtId="0" fontId="12" fillId="7" borderId="21" xfId="0" applyFont="1" applyFill="1" applyBorder="1" applyAlignment="1">
      <alignment horizontal="center" vertical="center"/>
    </xf>
    <xf numFmtId="0" fontId="12" fillId="9" borderId="20" xfId="0" applyFont="1" applyFill="1" applyBorder="1" applyAlignment="1">
      <alignment horizontal="center" vertical="center"/>
    </xf>
    <xf numFmtId="14" fontId="10" fillId="0" borderId="0" xfId="0" applyNumberFormat="1" applyFont="1" applyAlignment="1">
      <alignment horizontal="left" vertical="center"/>
    </xf>
    <xf numFmtId="0" fontId="9" fillId="0" borderId="20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14" fillId="6" borderId="5" xfId="0" applyFont="1" applyFill="1" applyBorder="1" applyAlignment="1">
      <alignment horizontal="center" vertical="center"/>
    </xf>
    <xf numFmtId="0" fontId="11" fillId="6" borderId="41" xfId="0" applyFont="1" applyFill="1" applyBorder="1" applyAlignment="1">
      <alignment horizontal="center" vertical="center"/>
    </xf>
    <xf numFmtId="0" fontId="14" fillId="0" borderId="0" xfId="0" applyFont="1"/>
    <xf numFmtId="0" fontId="11" fillId="6" borderId="0" xfId="0" applyFont="1" applyFill="1" applyAlignment="1">
      <alignment horizontal="center" vertical="center"/>
    </xf>
    <xf numFmtId="0" fontId="9" fillId="6" borderId="5" xfId="0" applyFont="1" applyFill="1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10" fillId="8" borderId="5" xfId="0" applyFont="1" applyFill="1" applyBorder="1" applyAlignment="1">
      <alignment horizontal="center" vertical="center"/>
    </xf>
    <xf numFmtId="1" fontId="10" fillId="8" borderId="5" xfId="0" applyNumberFormat="1" applyFont="1" applyFill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1" fontId="10" fillId="0" borderId="5" xfId="0" applyNumberFormat="1" applyFont="1" applyBorder="1" applyAlignment="1">
      <alignment horizontal="center" vertical="center"/>
    </xf>
    <xf numFmtId="0" fontId="15" fillId="6" borderId="40" xfId="0" applyFont="1" applyFill="1" applyBorder="1" applyAlignment="1">
      <alignment horizontal="center" vertical="center"/>
    </xf>
    <xf numFmtId="1" fontId="9" fillId="6" borderId="40" xfId="0" applyNumberFormat="1" applyFont="1" applyFill="1" applyBorder="1" applyAlignment="1">
      <alignment horizontal="center" vertical="center"/>
    </xf>
    <xf numFmtId="0" fontId="10" fillId="6" borderId="42" xfId="0" applyFont="1" applyFill="1" applyBorder="1"/>
    <xf numFmtId="1" fontId="11" fillId="0" borderId="0" xfId="0" applyNumberFormat="1" applyFont="1"/>
    <xf numFmtId="0" fontId="2" fillId="0" borderId="44" xfId="0" applyFont="1" applyBorder="1" applyAlignment="1">
      <alignment vertical="center"/>
    </xf>
    <xf numFmtId="0" fontId="2" fillId="0" borderId="44" xfId="0" applyFont="1" applyBorder="1" applyAlignment="1">
      <alignment horizontal="center" vertical="center"/>
    </xf>
    <xf numFmtId="0" fontId="2" fillId="0" borderId="44" xfId="0" applyFont="1" applyBorder="1" applyAlignment="1">
      <alignment horizontal="left" vertical="center"/>
    </xf>
    <xf numFmtId="0" fontId="2" fillId="0" borderId="43" xfId="0" applyFont="1" applyBorder="1" applyAlignment="1">
      <alignment horizontal="center" vertical="center"/>
    </xf>
    <xf numFmtId="0" fontId="16" fillId="0" borderId="43" xfId="0" applyFont="1" applyBorder="1" applyAlignment="1">
      <alignment horizontal="left" vertical="center"/>
    </xf>
    <xf numFmtId="0" fontId="2" fillId="0" borderId="45" xfId="0" applyFont="1" applyBorder="1" applyAlignment="1">
      <alignment horizontal="center" vertical="center"/>
    </xf>
    <xf numFmtId="0" fontId="6" fillId="7" borderId="11" xfId="0" applyFont="1" applyFill="1" applyBorder="1" applyAlignment="1">
      <alignment horizontal="center" vertical="center"/>
    </xf>
    <xf numFmtId="0" fontId="6" fillId="7" borderId="17" xfId="0" applyFont="1" applyFill="1" applyBorder="1" applyAlignment="1">
      <alignment horizontal="center" vertical="center"/>
    </xf>
    <xf numFmtId="0" fontId="17" fillId="0" borderId="31" xfId="0" applyFont="1" applyBorder="1" applyAlignment="1">
      <alignment horizontal="center" vertical="center"/>
    </xf>
    <xf numFmtId="0" fontId="17" fillId="0" borderId="32" xfId="0" applyFont="1" applyBorder="1" applyAlignment="1">
      <alignment horizontal="center" vertical="center"/>
    </xf>
    <xf numFmtId="0" fontId="17" fillId="0" borderId="33" xfId="0" applyFont="1" applyBorder="1" applyAlignment="1">
      <alignment horizontal="center" vertical="center"/>
    </xf>
    <xf numFmtId="0" fontId="17" fillId="0" borderId="34" xfId="0" applyFont="1" applyBorder="1" applyAlignment="1">
      <alignment horizontal="center" vertical="center"/>
    </xf>
    <xf numFmtId="0" fontId="17" fillId="0" borderId="35" xfId="0" applyFont="1" applyBorder="1" applyAlignment="1">
      <alignment horizontal="center" vertical="center"/>
    </xf>
    <xf numFmtId="0" fontId="17" fillId="0" borderId="36" xfId="0" applyFont="1" applyBorder="1" applyAlignment="1">
      <alignment horizontal="center" vertical="center"/>
    </xf>
    <xf numFmtId="0" fontId="17" fillId="0" borderId="30" xfId="0" applyFont="1" applyBorder="1" applyAlignment="1">
      <alignment horizontal="center" vertical="center"/>
    </xf>
    <xf numFmtId="0" fontId="17" fillId="0" borderId="37" xfId="0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17" fillId="0" borderId="11" xfId="0" applyFont="1" applyBorder="1" applyAlignment="1">
      <alignment horizontal="center" vertical="center"/>
    </xf>
    <xf numFmtId="0" fontId="17" fillId="0" borderId="9" xfId="0" applyFont="1" applyBorder="1" applyAlignment="1">
      <alignment horizontal="center" vertical="center"/>
    </xf>
    <xf numFmtId="0" fontId="19" fillId="2" borderId="10" xfId="0" applyFont="1" applyFill="1" applyBorder="1" applyAlignment="1">
      <alignment horizontal="center" vertical="center"/>
    </xf>
    <xf numFmtId="0" fontId="19" fillId="2" borderId="7" xfId="0" applyFont="1" applyFill="1" applyBorder="1" applyAlignment="1">
      <alignment horizontal="center" vertical="center"/>
    </xf>
    <xf numFmtId="0" fontId="19" fillId="2" borderId="8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9" xfId="0" applyFont="1" applyBorder="1" applyAlignment="1">
      <alignment horizontal="center" vertical="center"/>
    </xf>
    <xf numFmtId="188" fontId="17" fillId="0" borderId="30" xfId="0" applyNumberFormat="1" applyFont="1" applyBorder="1" applyAlignment="1">
      <alignment horizontal="center" vertical="center"/>
    </xf>
    <xf numFmtId="188" fontId="17" fillId="0" borderId="32" xfId="0" applyNumberFormat="1" applyFont="1" applyBorder="1" applyAlignment="1">
      <alignment horizontal="center" vertical="center"/>
    </xf>
    <xf numFmtId="188" fontId="17" fillId="0" borderId="37" xfId="0" applyNumberFormat="1" applyFont="1" applyBorder="1" applyAlignment="1">
      <alignment horizontal="center" vertical="center"/>
    </xf>
    <xf numFmtId="0" fontId="17" fillId="2" borderId="31" xfId="0" applyFont="1" applyFill="1" applyBorder="1" applyAlignment="1">
      <alignment horizontal="center" vertical="center"/>
    </xf>
    <xf numFmtId="0" fontId="17" fillId="2" borderId="32" xfId="0" applyFont="1" applyFill="1" applyBorder="1" applyAlignment="1">
      <alignment horizontal="center" vertical="center"/>
    </xf>
    <xf numFmtId="0" fontId="17" fillId="2" borderId="33" xfId="0" applyFont="1" applyFill="1" applyBorder="1" applyAlignment="1">
      <alignment horizontal="center" vertical="center"/>
    </xf>
    <xf numFmtId="188" fontId="17" fillId="0" borderId="11" xfId="0" applyNumberFormat="1" applyFont="1" applyBorder="1" applyAlignment="1">
      <alignment horizontal="center" vertical="center"/>
    </xf>
    <xf numFmtId="188" fontId="17" fillId="0" borderId="7" xfId="0" applyNumberFormat="1" applyFont="1" applyBorder="1" applyAlignment="1">
      <alignment horizontal="center" vertical="center"/>
    </xf>
    <xf numFmtId="188" fontId="17" fillId="0" borderId="9" xfId="0" applyNumberFormat="1" applyFont="1" applyBorder="1" applyAlignment="1">
      <alignment horizontal="center" vertical="center"/>
    </xf>
    <xf numFmtId="0" fontId="17" fillId="2" borderId="10" xfId="0" applyFont="1" applyFill="1" applyBorder="1" applyAlignment="1">
      <alignment horizontal="center" vertical="center"/>
    </xf>
    <xf numFmtId="0" fontId="17" fillId="2" borderId="7" xfId="0" applyFont="1" applyFill="1" applyBorder="1" applyAlignment="1">
      <alignment horizontal="center" vertical="center"/>
    </xf>
    <xf numFmtId="0" fontId="17" fillId="2" borderId="8" xfId="0" applyFont="1" applyFill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188" fontId="19" fillId="0" borderId="11" xfId="0" applyNumberFormat="1" applyFont="1" applyBorder="1" applyAlignment="1">
      <alignment horizontal="center" vertical="center"/>
    </xf>
    <xf numFmtId="188" fontId="19" fillId="0" borderId="7" xfId="0" applyNumberFormat="1" applyFont="1" applyBorder="1" applyAlignment="1">
      <alignment horizontal="center" vertical="center"/>
    </xf>
    <xf numFmtId="188" fontId="19" fillId="0" borderId="9" xfId="0" applyNumberFormat="1" applyFont="1" applyBorder="1" applyAlignment="1">
      <alignment horizontal="center" vertical="center"/>
    </xf>
    <xf numFmtId="188" fontId="7" fillId="0" borderId="11" xfId="0" applyNumberFormat="1" applyFont="1" applyBorder="1" applyAlignment="1">
      <alignment horizontal="center" vertical="center"/>
    </xf>
    <xf numFmtId="188" fontId="7" fillId="0" borderId="7" xfId="0" applyNumberFormat="1" applyFont="1" applyBorder="1" applyAlignment="1">
      <alignment horizontal="center" vertical="center"/>
    </xf>
    <xf numFmtId="188" fontId="7" fillId="0" borderId="9" xfId="0" applyNumberFormat="1" applyFont="1" applyBorder="1" applyAlignment="1">
      <alignment horizontal="center" vertical="center"/>
    </xf>
    <xf numFmtId="188" fontId="7" fillId="3" borderId="11" xfId="0" applyNumberFormat="1" applyFont="1" applyFill="1" applyBorder="1" applyAlignment="1">
      <alignment horizontal="center" vertical="center"/>
    </xf>
    <xf numFmtId="188" fontId="7" fillId="3" borderId="7" xfId="0" applyNumberFormat="1" applyFont="1" applyFill="1" applyBorder="1" applyAlignment="1">
      <alignment horizontal="center" vertical="center"/>
    </xf>
    <xf numFmtId="188" fontId="7" fillId="3" borderId="9" xfId="0" applyNumberFormat="1" applyFont="1" applyFill="1" applyBorder="1" applyAlignment="1">
      <alignment horizontal="center" vertical="center"/>
    </xf>
    <xf numFmtId="188" fontId="18" fillId="10" borderId="30" xfId="0" applyNumberFormat="1" applyFont="1" applyFill="1" applyBorder="1" applyAlignment="1">
      <alignment horizontal="center" vertical="center"/>
    </xf>
    <xf numFmtId="188" fontId="18" fillId="10" borderId="32" xfId="0" applyNumberFormat="1" applyFont="1" applyFill="1" applyBorder="1" applyAlignment="1">
      <alignment horizontal="center" vertical="center"/>
    </xf>
    <xf numFmtId="188" fontId="18" fillId="10" borderId="11" xfId="0" applyNumberFormat="1" applyFont="1" applyFill="1" applyBorder="1" applyAlignment="1">
      <alignment horizontal="center" vertical="center"/>
    </xf>
    <xf numFmtId="188" fontId="20" fillId="10" borderId="7" xfId="0" applyNumberFormat="1" applyFont="1" applyFill="1" applyBorder="1" applyAlignment="1">
      <alignment horizontal="center" vertical="center"/>
    </xf>
    <xf numFmtId="188" fontId="12" fillId="0" borderId="21" xfId="0" applyNumberFormat="1" applyFont="1" applyBorder="1" applyAlignment="1">
      <alignment horizontal="center" vertical="center"/>
    </xf>
    <xf numFmtId="188" fontId="12" fillId="9" borderId="21" xfId="0" applyNumberFormat="1" applyFont="1" applyFill="1" applyBorder="1" applyAlignment="1">
      <alignment horizontal="center" vertical="center"/>
    </xf>
    <xf numFmtId="188" fontId="10" fillId="0" borderId="21" xfId="0" applyNumberFormat="1" applyFont="1" applyBorder="1" applyAlignment="1">
      <alignment horizontal="center" vertical="center"/>
    </xf>
    <xf numFmtId="0" fontId="21" fillId="0" borderId="21" xfId="0" applyFont="1" applyBorder="1" applyAlignment="1">
      <alignment horizontal="center" vertical="center"/>
    </xf>
    <xf numFmtId="188" fontId="11" fillId="0" borderId="21" xfId="0" applyNumberFormat="1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0" fillId="0" borderId="26" xfId="0" applyBorder="1"/>
    <xf numFmtId="0" fontId="0" fillId="0" borderId="18" xfId="0" applyBorder="1"/>
    <xf numFmtId="0" fontId="2" fillId="0" borderId="43" xfId="0" applyFont="1" applyBorder="1" applyAlignment="1">
      <alignment horizontal="center" vertical="center"/>
    </xf>
    <xf numFmtId="0" fontId="0" fillId="0" borderId="44" xfId="0" applyBorder="1"/>
    <xf numFmtId="0" fontId="8" fillId="0" borderId="0" xfId="0" applyFont="1" applyAlignment="1">
      <alignment horizontal="left" vertical="center"/>
    </xf>
    <xf numFmtId="0" fontId="3" fillId="2" borderId="22" xfId="0" applyFont="1" applyFill="1" applyBorder="1" applyAlignment="1">
      <alignment horizontal="center" vertical="center"/>
    </xf>
    <xf numFmtId="0" fontId="0" fillId="0" borderId="30" xfId="0" applyBorder="1"/>
    <xf numFmtId="0" fontId="2" fillId="2" borderId="27" xfId="0" applyFont="1" applyFill="1" applyBorder="1" applyAlignment="1">
      <alignment horizontal="center" vertical="center"/>
    </xf>
    <xf numFmtId="0" fontId="0" fillId="0" borderId="27" xfId="0" applyBorder="1"/>
    <xf numFmtId="0" fontId="5" fillId="2" borderId="22" xfId="0" applyFont="1" applyFill="1" applyBorder="1" applyAlignment="1">
      <alignment horizontal="center" vertical="center"/>
    </xf>
    <xf numFmtId="0" fontId="3" fillId="2" borderId="47" xfId="0" applyFont="1" applyFill="1" applyBorder="1" applyAlignment="1">
      <alignment horizontal="center" vertical="center"/>
    </xf>
    <xf numFmtId="0" fontId="0" fillId="0" borderId="6" xfId="0" applyBorder="1"/>
    <xf numFmtId="0" fontId="0" fillId="0" borderId="38" xfId="0" applyBorder="1"/>
    <xf numFmtId="0" fontId="0" fillId="0" borderId="39" xfId="0" applyBorder="1"/>
    <xf numFmtId="0" fontId="2" fillId="2" borderId="46" xfId="0" applyFont="1" applyFill="1" applyBorder="1" applyAlignment="1">
      <alignment horizontal="center" vertical="center"/>
    </xf>
    <xf numFmtId="0" fontId="0" fillId="0" borderId="19" xfId="0" applyBorder="1"/>
    <xf numFmtId="14" fontId="4" fillId="0" borderId="24" xfId="0" applyNumberFormat="1" applyFont="1" applyBorder="1" applyAlignment="1">
      <alignment horizontal="center" vertical="center"/>
    </xf>
    <xf numFmtId="187" fontId="22" fillId="0" borderId="45" xfId="0" quotePrefix="1" applyNumberFormat="1" applyFont="1" applyBorder="1" applyAlignment="1">
      <alignment horizontal="center" vertical="center"/>
    </xf>
    <xf numFmtId="0" fontId="0" fillId="0" borderId="45" xfId="0" applyBorder="1"/>
    <xf numFmtId="0" fontId="5" fillId="2" borderId="23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/>
    </xf>
    <xf numFmtId="189" fontId="5" fillId="0" borderId="24" xfId="0" applyNumberFormat="1" applyFont="1" applyBorder="1" applyAlignment="1">
      <alignment horizontal="center" vertical="center"/>
    </xf>
    <xf numFmtId="0" fontId="14" fillId="6" borderId="5" xfId="0" applyFont="1" applyFill="1" applyBorder="1" applyAlignment="1">
      <alignment horizontal="center" vertical="center"/>
    </xf>
    <xf numFmtId="0" fontId="0" fillId="0" borderId="48" xfId="0" applyBorder="1"/>
    <xf numFmtId="0" fontId="0" fillId="0" borderId="49" xfId="0" applyBorder="1"/>
    <xf numFmtId="0" fontId="9" fillId="6" borderId="5" xfId="0" applyFont="1" applyFill="1" applyBorder="1" applyAlignment="1">
      <alignment horizontal="center" vertical="center" wrapText="1"/>
    </xf>
    <xf numFmtId="0" fontId="0" fillId="0" borderId="50" xfId="0" applyBorder="1"/>
    <xf numFmtId="0" fontId="14" fillId="6" borderId="5" xfId="0" applyFont="1" applyFill="1" applyBorder="1" applyAlignment="1">
      <alignment horizontal="center" vertical="center" wrapText="1"/>
    </xf>
    <xf numFmtId="0" fontId="13" fillId="5" borderId="51" xfId="0" applyFont="1" applyFill="1" applyBorder="1" applyAlignment="1">
      <alignment horizontal="center" vertical="center"/>
    </xf>
    <xf numFmtId="0" fontId="0" fillId="0" borderId="28" xfId="0" applyBorder="1"/>
    <xf numFmtId="0" fontId="0" fillId="0" borderId="29" xfId="0" applyBorder="1"/>
    <xf numFmtId="0" fontId="9" fillId="5" borderId="51" xfId="0" applyFont="1" applyFill="1" applyBorder="1" applyAlignment="1">
      <alignment horizontal="center" vertical="center"/>
    </xf>
    <xf numFmtId="0" fontId="23" fillId="0" borderId="21" xfId="0" applyFont="1" applyBorder="1" applyAlignment="1">
      <alignment horizontal="center" vertical="center"/>
    </xf>
    <xf numFmtId="0" fontId="24" fillId="7" borderId="21" xfId="0" applyFont="1" applyFill="1" applyBorder="1" applyAlignment="1">
      <alignment horizontal="center" vertic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197381</xdr:colOff>
      <xdr:row>0</xdr:row>
      <xdr:rowOff>7864</xdr:rowOff>
    </xdr:from>
    <xdr:to>
      <xdr:col>18</xdr:col>
      <xdr:colOff>41539</xdr:colOff>
      <xdr:row>0</xdr:row>
      <xdr:rowOff>590347</xdr:rowOff>
    </xdr:to>
    <xdr:pic>
      <xdr:nvPicPr>
        <xdr:cNvPr id="3" name="Picture 2" descr="cid:image001.jpg@01D9A2D1.F406A100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83381" y="7864"/>
          <a:ext cx="4564325" cy="582483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AS60"/>
  <sheetViews>
    <sheetView tabSelected="1" zoomScale="115" zoomScaleNormal="115" workbookViewId="0">
      <selection activeCell="AP1" sqref="AP1"/>
    </sheetView>
  </sheetViews>
  <sheetFormatPr defaultColWidth="8.875" defaultRowHeight="16.899999999999999" customHeight="1" x14ac:dyDescent="0.2"/>
  <cols>
    <col min="1" max="2" width="10.75" style="3" customWidth="1"/>
    <col min="3" max="11" width="4.25" style="3" customWidth="1"/>
    <col min="12" max="12" width="5.125" style="3" bestFit="1" customWidth="1"/>
    <col min="13" max="13" width="4.25" style="3" customWidth="1"/>
    <col min="14" max="14" width="5.125" style="3" bestFit="1" customWidth="1"/>
    <col min="15" max="20" width="4.25" style="3" customWidth="1"/>
    <col min="21" max="21" width="3" style="3" hidden="1" customWidth="1"/>
    <col min="22" max="23" width="10.75" style="3" customWidth="1"/>
    <col min="24" max="32" width="4.25" style="3" customWidth="1"/>
    <col min="33" max="33" width="5.125" style="3" bestFit="1" customWidth="1"/>
    <col min="34" max="34" width="4.25" style="3" customWidth="1"/>
    <col min="35" max="35" width="5.125" style="3" bestFit="1" customWidth="1"/>
    <col min="36" max="41" width="4.25" style="3" customWidth="1"/>
    <col min="42" max="42" width="8.875" style="3" customWidth="1"/>
    <col min="43" max="43" width="10.125" style="3" customWidth="1"/>
    <col min="44" max="44" width="8.875" style="3" customWidth="1"/>
    <col min="45" max="16384" width="8.875" style="3"/>
  </cols>
  <sheetData>
    <row r="1" spans="1:44" s="1" customFormat="1" ht="54.95" customHeight="1" thickBot="1" x14ac:dyDescent="0.25">
      <c r="A1" s="106" t="s">
        <v>0</v>
      </c>
      <c r="B1" s="102"/>
      <c r="C1" s="103"/>
      <c r="D1" s="107"/>
      <c r="E1" s="105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7"/>
      <c r="T1" s="103"/>
      <c r="U1" s="103"/>
      <c r="V1" s="104"/>
      <c r="W1" s="104"/>
      <c r="X1" s="103"/>
      <c r="Y1" s="103"/>
      <c r="Z1" s="103"/>
      <c r="AA1" s="103"/>
      <c r="AB1" s="103"/>
      <c r="AC1" s="103"/>
      <c r="AD1" s="103"/>
      <c r="AE1" s="103"/>
      <c r="AF1" s="103"/>
      <c r="AG1" s="103"/>
      <c r="AH1" s="103"/>
      <c r="AI1" s="103"/>
      <c r="AJ1" s="166" t="s">
        <v>1</v>
      </c>
      <c r="AK1" s="167"/>
      <c r="AL1" s="181">
        <v>46294</v>
      </c>
      <c r="AM1" s="167"/>
      <c r="AN1" s="167"/>
      <c r="AO1" s="182"/>
    </row>
    <row r="2" spans="1:44" ht="15" customHeight="1" x14ac:dyDescent="0.2">
      <c r="A2" s="174" t="s">
        <v>2</v>
      </c>
      <c r="B2" s="175"/>
      <c r="C2" s="184" t="s">
        <v>3</v>
      </c>
      <c r="D2" s="164"/>
      <c r="E2" s="164"/>
      <c r="F2" s="164"/>
      <c r="G2" s="164"/>
      <c r="H2" s="164"/>
      <c r="I2" s="164"/>
      <c r="J2" s="164"/>
      <c r="K2" s="172"/>
      <c r="L2" s="173" t="s">
        <v>4</v>
      </c>
      <c r="M2" s="164"/>
      <c r="N2" s="164"/>
      <c r="O2" s="164"/>
      <c r="P2" s="164"/>
      <c r="Q2" s="172"/>
      <c r="R2" s="185">
        <f>AL1</f>
        <v>46294</v>
      </c>
      <c r="S2" s="164"/>
      <c r="T2" s="165"/>
      <c r="U2" s="2"/>
      <c r="V2" s="174" t="s">
        <v>2</v>
      </c>
      <c r="W2" s="175"/>
      <c r="X2" s="184" t="s">
        <v>5</v>
      </c>
      <c r="Y2" s="164"/>
      <c r="Z2" s="164"/>
      <c r="AA2" s="164"/>
      <c r="AB2" s="164"/>
      <c r="AC2" s="164"/>
      <c r="AD2" s="164"/>
      <c r="AE2" s="164"/>
      <c r="AF2" s="172"/>
      <c r="AG2" s="173" t="s">
        <v>6</v>
      </c>
      <c r="AH2" s="164"/>
      <c r="AI2" s="164"/>
      <c r="AJ2" s="164"/>
      <c r="AK2" s="164"/>
      <c r="AL2" s="172"/>
      <c r="AM2" s="185">
        <f>R2</f>
        <v>46294</v>
      </c>
      <c r="AN2" s="164"/>
      <c r="AO2" s="165"/>
    </row>
    <row r="3" spans="1:44" ht="15" customHeight="1" thickBot="1" x14ac:dyDescent="0.25">
      <c r="A3" s="176"/>
      <c r="B3" s="177"/>
      <c r="C3" s="4" t="s">
        <v>7</v>
      </c>
      <c r="D3" s="5" t="s">
        <v>8</v>
      </c>
      <c r="E3" s="5" t="s">
        <v>9</v>
      </c>
      <c r="F3" s="5" t="s">
        <v>10</v>
      </c>
      <c r="G3" s="5" t="s">
        <v>11</v>
      </c>
      <c r="H3" s="5" t="s">
        <v>12</v>
      </c>
      <c r="I3" s="5" t="s">
        <v>13</v>
      </c>
      <c r="J3" s="5" t="s">
        <v>14</v>
      </c>
      <c r="K3" s="6" t="s">
        <v>15</v>
      </c>
      <c r="L3" s="7" t="s">
        <v>7</v>
      </c>
      <c r="M3" s="5" t="s">
        <v>8</v>
      </c>
      <c r="N3" s="5" t="s">
        <v>9</v>
      </c>
      <c r="O3" s="5" t="s">
        <v>10</v>
      </c>
      <c r="P3" s="5" t="s">
        <v>11</v>
      </c>
      <c r="Q3" s="5" t="s">
        <v>12</v>
      </c>
      <c r="R3" s="5" t="s">
        <v>13</v>
      </c>
      <c r="S3" s="5" t="s">
        <v>14</v>
      </c>
      <c r="T3" s="8" t="s">
        <v>15</v>
      </c>
      <c r="U3" s="9"/>
      <c r="V3" s="176"/>
      <c r="W3" s="177"/>
      <c r="X3" s="10" t="s">
        <v>7</v>
      </c>
      <c r="Y3" s="11" t="s">
        <v>8</v>
      </c>
      <c r="Z3" s="11" t="s">
        <v>9</v>
      </c>
      <c r="AA3" s="11" t="s">
        <v>10</v>
      </c>
      <c r="AB3" s="11" t="s">
        <v>11</v>
      </c>
      <c r="AC3" s="11" t="s">
        <v>12</v>
      </c>
      <c r="AD3" s="11" t="s">
        <v>13</v>
      </c>
      <c r="AE3" s="11" t="s">
        <v>14</v>
      </c>
      <c r="AF3" s="12" t="s">
        <v>15</v>
      </c>
      <c r="AG3" s="7" t="s">
        <v>7</v>
      </c>
      <c r="AH3" s="5" t="s">
        <v>8</v>
      </c>
      <c r="AI3" s="5" t="s">
        <v>9</v>
      </c>
      <c r="AJ3" s="5" t="s">
        <v>10</v>
      </c>
      <c r="AK3" s="5" t="s">
        <v>11</v>
      </c>
      <c r="AL3" s="5" t="s">
        <v>12</v>
      </c>
      <c r="AM3" s="5" t="s">
        <v>13</v>
      </c>
      <c r="AN3" s="5" t="s">
        <v>14</v>
      </c>
      <c r="AO3" s="8" t="s">
        <v>15</v>
      </c>
    </row>
    <row r="4" spans="1:44" s="15" customFormat="1" ht="15" customHeight="1" x14ac:dyDescent="0.2">
      <c r="A4" s="13" t="s">
        <v>16</v>
      </c>
      <c r="B4" s="14" t="s">
        <v>17</v>
      </c>
      <c r="C4" s="110">
        <v>144</v>
      </c>
      <c r="D4" s="111"/>
      <c r="E4" s="111">
        <v>160</v>
      </c>
      <c r="F4" s="111"/>
      <c r="G4" s="111">
        <v>4</v>
      </c>
      <c r="H4" s="111"/>
      <c r="I4" s="111"/>
      <c r="J4" s="111"/>
      <c r="K4" s="112"/>
      <c r="L4" s="113">
        <v>14</v>
      </c>
      <c r="M4" s="114"/>
      <c r="N4" s="114">
        <v>37</v>
      </c>
      <c r="O4" s="114"/>
      <c r="P4" s="114"/>
      <c r="Q4" s="114"/>
      <c r="R4" s="114"/>
      <c r="S4" s="114"/>
      <c r="T4" s="115"/>
      <c r="V4" s="13" t="s">
        <v>18</v>
      </c>
      <c r="W4" s="14" t="s">
        <v>17</v>
      </c>
      <c r="X4" s="110">
        <v>65</v>
      </c>
      <c r="Y4" s="111"/>
      <c r="Z4" s="111">
        <v>60</v>
      </c>
      <c r="AA4" s="111"/>
      <c r="AB4" s="111">
        <v>2</v>
      </c>
      <c r="AC4" s="111"/>
      <c r="AD4" s="111"/>
      <c r="AE4" s="111"/>
      <c r="AF4" s="112"/>
      <c r="AG4" s="116">
        <v>8</v>
      </c>
      <c r="AH4" s="111"/>
      <c r="AI4" s="111">
        <v>48</v>
      </c>
      <c r="AJ4" s="111"/>
      <c r="AK4" s="111"/>
      <c r="AL4" s="111"/>
      <c r="AM4" s="111"/>
      <c r="AN4" s="111"/>
      <c r="AO4" s="117"/>
    </row>
    <row r="5" spans="1:44" s="15" customFormat="1" ht="15" customHeight="1" x14ac:dyDescent="0.2">
      <c r="A5" s="16" t="s">
        <v>19</v>
      </c>
      <c r="B5" s="17" t="s">
        <v>17</v>
      </c>
      <c r="C5" s="118">
        <v>59</v>
      </c>
      <c r="D5" s="119"/>
      <c r="E5" s="119">
        <v>50</v>
      </c>
      <c r="F5" s="119">
        <v>3</v>
      </c>
      <c r="G5" s="119">
        <v>2</v>
      </c>
      <c r="H5" s="119"/>
      <c r="I5" s="119"/>
      <c r="J5" s="119"/>
      <c r="K5" s="120"/>
      <c r="L5" s="121">
        <v>26</v>
      </c>
      <c r="M5" s="119"/>
      <c r="N5" s="119">
        <v>8</v>
      </c>
      <c r="O5" s="119">
        <v>5</v>
      </c>
      <c r="P5" s="119"/>
      <c r="Q5" s="119"/>
      <c r="R5" s="119"/>
      <c r="S5" s="119"/>
      <c r="T5" s="122"/>
      <c r="V5" s="16" t="s">
        <v>20</v>
      </c>
      <c r="W5" s="17" t="s">
        <v>17</v>
      </c>
      <c r="X5" s="118">
        <v>5</v>
      </c>
      <c r="Y5" s="119"/>
      <c r="Z5" s="119">
        <v>16</v>
      </c>
      <c r="AA5" s="119"/>
      <c r="AB5" s="119">
        <v>2</v>
      </c>
      <c r="AC5" s="119"/>
      <c r="AD5" s="119"/>
      <c r="AE5" s="119"/>
      <c r="AF5" s="120"/>
      <c r="AG5" s="121">
        <v>1</v>
      </c>
      <c r="AH5" s="119"/>
      <c r="AI5" s="119"/>
      <c r="AJ5" s="119"/>
      <c r="AK5" s="119"/>
      <c r="AL5" s="119">
        <v>1</v>
      </c>
      <c r="AM5" s="119"/>
      <c r="AN5" s="119"/>
      <c r="AO5" s="122"/>
    </row>
    <row r="6" spans="1:44" s="15" customFormat="1" ht="15" customHeight="1" x14ac:dyDescent="0.2">
      <c r="A6" s="16" t="s">
        <v>21</v>
      </c>
      <c r="B6" s="17" t="s">
        <v>22</v>
      </c>
      <c r="C6" s="118">
        <v>17</v>
      </c>
      <c r="D6" s="119"/>
      <c r="E6" s="119">
        <v>10</v>
      </c>
      <c r="F6" s="119"/>
      <c r="G6" s="119">
        <v>1</v>
      </c>
      <c r="H6" s="119"/>
      <c r="I6" s="119"/>
      <c r="J6" s="119"/>
      <c r="K6" s="120"/>
      <c r="L6" s="121"/>
      <c r="M6" s="119"/>
      <c r="N6" s="119">
        <v>14</v>
      </c>
      <c r="O6" s="119"/>
      <c r="P6" s="119"/>
      <c r="Q6" s="119"/>
      <c r="R6" s="119"/>
      <c r="S6" s="119"/>
      <c r="T6" s="122"/>
      <c r="V6" s="16" t="s">
        <v>23</v>
      </c>
      <c r="W6" s="17" t="s">
        <v>17</v>
      </c>
      <c r="X6" s="118">
        <v>18</v>
      </c>
      <c r="Y6" s="119"/>
      <c r="Z6" s="119">
        <v>55</v>
      </c>
      <c r="AA6" s="119"/>
      <c r="AB6" s="119">
        <v>9</v>
      </c>
      <c r="AC6" s="119"/>
      <c r="AD6" s="119"/>
      <c r="AE6" s="119"/>
      <c r="AF6" s="120"/>
      <c r="AG6" s="121"/>
      <c r="AH6" s="119"/>
      <c r="AI6" s="119"/>
      <c r="AJ6" s="119"/>
      <c r="AK6" s="119"/>
      <c r="AL6" s="119"/>
      <c r="AM6" s="119"/>
      <c r="AN6" s="119"/>
      <c r="AO6" s="122"/>
    </row>
    <row r="7" spans="1:44" s="24" customFormat="1" ht="15" customHeight="1" x14ac:dyDescent="0.2">
      <c r="A7" s="108" t="s">
        <v>24</v>
      </c>
      <c r="B7" s="109" t="s">
        <v>22</v>
      </c>
      <c r="C7" s="118"/>
      <c r="D7" s="119"/>
      <c r="E7" s="119"/>
      <c r="F7" s="119"/>
      <c r="G7" s="119"/>
      <c r="H7" s="119"/>
      <c r="I7" s="119"/>
      <c r="J7" s="119"/>
      <c r="K7" s="120"/>
      <c r="L7" s="121"/>
      <c r="M7" s="119"/>
      <c r="N7" s="119"/>
      <c r="O7" s="119"/>
      <c r="P7" s="119"/>
      <c r="Q7" s="119"/>
      <c r="R7" s="119"/>
      <c r="S7" s="119"/>
      <c r="T7" s="122"/>
      <c r="V7" s="16" t="s">
        <v>25</v>
      </c>
      <c r="W7" s="17" t="s">
        <v>17</v>
      </c>
      <c r="X7" s="118">
        <v>35</v>
      </c>
      <c r="Y7" s="119"/>
      <c r="Z7" s="119">
        <v>59</v>
      </c>
      <c r="AA7" s="119"/>
      <c r="AB7" s="119"/>
      <c r="AC7" s="119"/>
      <c r="AD7" s="119"/>
      <c r="AE7" s="119"/>
      <c r="AF7" s="120"/>
      <c r="AG7" s="121">
        <v>60</v>
      </c>
      <c r="AH7" s="119"/>
      <c r="AI7" s="119">
        <v>34</v>
      </c>
      <c r="AJ7" s="119"/>
      <c r="AK7" s="119"/>
      <c r="AL7" s="119"/>
      <c r="AM7" s="119"/>
      <c r="AN7" s="119"/>
      <c r="AO7" s="122"/>
    </row>
    <row r="8" spans="1:44" ht="15" customHeight="1" x14ac:dyDescent="0.2">
      <c r="A8" s="25" t="s">
        <v>26</v>
      </c>
      <c r="B8" s="26" t="s">
        <v>27</v>
      </c>
      <c r="C8" s="123"/>
      <c r="D8" s="124"/>
      <c r="E8" s="124"/>
      <c r="F8" s="124"/>
      <c r="G8" s="124"/>
      <c r="H8" s="124"/>
      <c r="I8" s="124"/>
      <c r="J8" s="124"/>
      <c r="K8" s="125"/>
      <c r="L8" s="126">
        <v>663</v>
      </c>
      <c r="M8" s="127"/>
      <c r="N8" s="127">
        <v>781</v>
      </c>
      <c r="O8" s="127"/>
      <c r="P8" s="127"/>
      <c r="Q8" s="127"/>
      <c r="R8" s="127"/>
      <c r="S8" s="127"/>
      <c r="T8" s="128"/>
      <c r="V8" s="25" t="s">
        <v>28</v>
      </c>
      <c r="W8" s="26" t="s">
        <v>27</v>
      </c>
      <c r="X8" s="123"/>
      <c r="Y8" s="124"/>
      <c r="Z8" s="124"/>
      <c r="AA8" s="124"/>
      <c r="AB8" s="124"/>
      <c r="AC8" s="124"/>
      <c r="AD8" s="124"/>
      <c r="AE8" s="124"/>
      <c r="AF8" s="125"/>
      <c r="AG8" s="126">
        <v>868</v>
      </c>
      <c r="AH8" s="127"/>
      <c r="AI8" s="127">
        <v>222</v>
      </c>
      <c r="AJ8" s="127">
        <v>6</v>
      </c>
      <c r="AK8" s="127">
        <v>40</v>
      </c>
      <c r="AL8" s="127"/>
      <c r="AM8" s="127"/>
      <c r="AN8" s="127"/>
      <c r="AO8" s="128"/>
    </row>
    <row r="9" spans="1:44" ht="15" customHeight="1" x14ac:dyDescent="0.2">
      <c r="A9" s="25" t="s">
        <v>29</v>
      </c>
      <c r="B9" s="26" t="s">
        <v>27</v>
      </c>
      <c r="C9" s="123"/>
      <c r="D9" s="124"/>
      <c r="E9" s="124"/>
      <c r="F9" s="124"/>
      <c r="G9" s="124"/>
      <c r="H9" s="124"/>
      <c r="I9" s="124"/>
      <c r="J9" s="124"/>
      <c r="K9" s="125"/>
      <c r="L9" s="126">
        <v>776</v>
      </c>
      <c r="M9" s="127">
        <v>4</v>
      </c>
      <c r="N9" s="127">
        <v>583</v>
      </c>
      <c r="O9" s="127">
        <v>33</v>
      </c>
      <c r="P9" s="127">
        <v>45</v>
      </c>
      <c r="Q9" s="127"/>
      <c r="R9" s="127"/>
      <c r="S9" s="127"/>
      <c r="T9" s="128"/>
      <c r="V9" s="25" t="s">
        <v>30</v>
      </c>
      <c r="W9" s="26" t="s">
        <v>27</v>
      </c>
      <c r="X9" s="123"/>
      <c r="Y9" s="124"/>
      <c r="Z9" s="124"/>
      <c r="AA9" s="124"/>
      <c r="AB9" s="124"/>
      <c r="AC9" s="124"/>
      <c r="AD9" s="124"/>
      <c r="AE9" s="124"/>
      <c r="AF9" s="125"/>
      <c r="AG9" s="126">
        <v>38</v>
      </c>
      <c r="AH9" s="127"/>
      <c r="AI9" s="127">
        <v>28</v>
      </c>
      <c r="AJ9" s="127"/>
      <c r="AK9" s="127"/>
      <c r="AL9" s="127"/>
      <c r="AM9" s="127"/>
      <c r="AN9" s="127"/>
      <c r="AO9" s="128"/>
    </row>
    <row r="10" spans="1:44" ht="15" customHeight="1" x14ac:dyDescent="0.2">
      <c r="A10" s="25"/>
      <c r="B10" s="26"/>
      <c r="C10" s="31"/>
      <c r="D10" s="21"/>
      <c r="E10" s="21"/>
      <c r="F10" s="21"/>
      <c r="G10" s="21"/>
      <c r="H10" s="21"/>
      <c r="I10" s="21"/>
      <c r="J10" s="21"/>
      <c r="K10" s="32"/>
      <c r="L10" s="25"/>
      <c r="M10" s="22"/>
      <c r="N10" s="22"/>
      <c r="O10" s="22"/>
      <c r="P10" s="22"/>
      <c r="Q10" s="22"/>
      <c r="R10" s="22"/>
      <c r="S10" s="22"/>
      <c r="T10" s="23"/>
      <c r="V10" s="25" t="s">
        <v>31</v>
      </c>
      <c r="W10" s="26" t="s">
        <v>27</v>
      </c>
      <c r="X10" s="123"/>
      <c r="Y10" s="124"/>
      <c r="Z10" s="124"/>
      <c r="AA10" s="124"/>
      <c r="AB10" s="124"/>
      <c r="AC10" s="124"/>
      <c r="AD10" s="124"/>
      <c r="AE10" s="124"/>
      <c r="AF10" s="125"/>
      <c r="AG10" s="126">
        <v>1114</v>
      </c>
      <c r="AH10" s="127">
        <v>2</v>
      </c>
      <c r="AI10" s="127">
        <v>726</v>
      </c>
      <c r="AJ10" s="127"/>
      <c r="AK10" s="127"/>
      <c r="AL10" s="127"/>
      <c r="AM10" s="127">
        <v>2</v>
      </c>
      <c r="AN10" s="127">
        <v>3</v>
      </c>
      <c r="AO10" s="128">
        <v>1</v>
      </c>
    </row>
    <row r="11" spans="1:44" ht="15" customHeight="1" x14ac:dyDescent="0.2">
      <c r="A11" s="33"/>
      <c r="B11" s="34"/>
      <c r="C11" s="31"/>
      <c r="D11" s="21"/>
      <c r="E11" s="21"/>
      <c r="F11" s="21"/>
      <c r="G11" s="21"/>
      <c r="H11" s="21"/>
      <c r="I11" s="21"/>
      <c r="J11" s="21"/>
      <c r="K11" s="32"/>
      <c r="L11" s="25"/>
      <c r="M11" s="22"/>
      <c r="N11" s="22"/>
      <c r="O11" s="22"/>
      <c r="P11" s="22"/>
      <c r="Q11" s="22"/>
      <c r="R11" s="22"/>
      <c r="S11" s="22"/>
      <c r="T11" s="23"/>
      <c r="V11" s="25"/>
      <c r="W11" s="26"/>
      <c r="X11" s="29"/>
      <c r="Y11" s="22"/>
      <c r="Z11" s="22"/>
      <c r="AA11" s="22"/>
      <c r="AB11" s="22"/>
      <c r="AC11" s="22"/>
      <c r="AD11" s="22"/>
      <c r="AE11" s="22"/>
      <c r="AF11" s="30"/>
      <c r="AG11" s="25"/>
      <c r="AH11" s="22"/>
      <c r="AI11" s="22"/>
      <c r="AJ11" s="22"/>
      <c r="AK11" s="22"/>
      <c r="AL11" s="22"/>
      <c r="AM11" s="22"/>
      <c r="AN11" s="22"/>
      <c r="AO11" s="23"/>
    </row>
    <row r="12" spans="1:44" ht="15" customHeight="1" x14ac:dyDescent="0.2">
      <c r="A12" s="33"/>
      <c r="B12" s="34"/>
      <c r="C12" s="31"/>
      <c r="D12" s="21"/>
      <c r="E12" s="21"/>
      <c r="F12" s="21"/>
      <c r="G12" s="21"/>
      <c r="H12" s="21"/>
      <c r="I12" s="21"/>
      <c r="J12" s="21"/>
      <c r="K12" s="32"/>
      <c r="L12" s="25"/>
      <c r="M12" s="22"/>
      <c r="N12" s="22"/>
      <c r="O12" s="22"/>
      <c r="P12" s="22"/>
      <c r="Q12" s="22"/>
      <c r="R12" s="22"/>
      <c r="S12" s="22"/>
      <c r="T12" s="23"/>
      <c r="V12" s="25"/>
      <c r="W12" s="26"/>
      <c r="X12" s="29"/>
      <c r="Y12" s="22"/>
      <c r="Z12" s="22"/>
      <c r="AA12" s="22"/>
      <c r="AB12" s="22"/>
      <c r="AC12" s="22"/>
      <c r="AD12" s="22"/>
      <c r="AE12" s="22"/>
      <c r="AF12" s="30"/>
      <c r="AG12" s="25"/>
      <c r="AH12" s="22"/>
      <c r="AI12" s="22"/>
      <c r="AJ12" s="22"/>
      <c r="AK12" s="22"/>
      <c r="AL12" s="22"/>
      <c r="AM12" s="22"/>
      <c r="AN12" s="22"/>
      <c r="AO12" s="23"/>
    </row>
    <row r="13" spans="1:44" ht="15" customHeight="1" x14ac:dyDescent="0.2">
      <c r="A13" s="35" t="s">
        <v>32</v>
      </c>
      <c r="B13" s="36"/>
      <c r="C13" s="18"/>
      <c r="D13" s="19"/>
      <c r="E13" s="19"/>
      <c r="F13" s="19"/>
      <c r="G13" s="19"/>
      <c r="H13" s="19"/>
      <c r="I13" s="19"/>
      <c r="J13" s="19"/>
      <c r="K13" s="20"/>
      <c r="L13" s="40"/>
      <c r="M13" s="41"/>
      <c r="N13" s="41"/>
      <c r="O13" s="41"/>
      <c r="P13" s="41"/>
      <c r="Q13" s="41"/>
      <c r="R13" s="41"/>
      <c r="S13" s="41"/>
      <c r="T13" s="42"/>
      <c r="V13" s="35" t="s">
        <v>32</v>
      </c>
      <c r="W13" s="36"/>
      <c r="X13" s="70"/>
      <c r="Y13" s="71"/>
      <c r="Z13" s="71"/>
      <c r="AA13" s="71"/>
      <c r="AB13" s="71"/>
      <c r="AC13" s="71"/>
      <c r="AD13" s="71"/>
      <c r="AE13" s="71"/>
      <c r="AF13" s="72"/>
      <c r="AG13" s="40"/>
      <c r="AH13" s="41"/>
      <c r="AI13" s="41"/>
      <c r="AJ13" s="41"/>
      <c r="AK13" s="41"/>
      <c r="AL13" s="41"/>
      <c r="AM13" s="41"/>
      <c r="AN13" s="41"/>
      <c r="AO13" s="42"/>
      <c r="AR13" s="3" t="s">
        <v>33</v>
      </c>
    </row>
    <row r="14" spans="1:44" ht="15" customHeight="1" x14ac:dyDescent="0.2">
      <c r="A14" s="35" t="s">
        <v>34</v>
      </c>
      <c r="B14" s="37"/>
      <c r="C14" s="27"/>
      <c r="D14" s="28"/>
      <c r="E14" s="28"/>
      <c r="F14" s="19"/>
      <c r="G14" s="19"/>
      <c r="H14" s="19"/>
      <c r="I14" s="19"/>
      <c r="J14" s="19"/>
      <c r="K14" s="20"/>
      <c r="L14" s="40"/>
      <c r="M14" s="41"/>
      <c r="N14" s="41"/>
      <c r="O14" s="41"/>
      <c r="P14" s="41"/>
      <c r="Q14" s="41"/>
      <c r="R14" s="41"/>
      <c r="S14" s="41"/>
      <c r="T14" s="42"/>
      <c r="V14" s="35" t="s">
        <v>34</v>
      </c>
      <c r="W14" s="37"/>
      <c r="X14" s="18"/>
      <c r="Y14" s="19"/>
      <c r="Z14" s="19"/>
      <c r="AA14" s="19"/>
      <c r="AB14" s="19"/>
      <c r="AC14" s="19"/>
      <c r="AD14" s="19"/>
      <c r="AE14" s="19"/>
      <c r="AF14" s="20"/>
      <c r="AG14" s="40">
        <v>198</v>
      </c>
      <c r="AH14" s="41"/>
      <c r="AI14" s="41"/>
      <c r="AJ14" s="41"/>
      <c r="AK14" s="41"/>
      <c r="AL14" s="41"/>
      <c r="AM14" s="41"/>
      <c r="AN14" s="41"/>
      <c r="AO14" s="42"/>
    </row>
    <row r="15" spans="1:44" ht="15" customHeight="1" thickBot="1" x14ac:dyDescent="0.25">
      <c r="A15" s="178" t="s">
        <v>35</v>
      </c>
      <c r="B15" s="179"/>
      <c r="C15" s="44">
        <f t="shared" ref="C15:T15" si="0">SUM(C4:C14)</f>
        <v>220</v>
      </c>
      <c r="D15" s="45">
        <f t="shared" si="0"/>
        <v>0</v>
      </c>
      <c r="E15" s="45">
        <f t="shared" si="0"/>
        <v>220</v>
      </c>
      <c r="F15" s="45">
        <f t="shared" si="0"/>
        <v>3</v>
      </c>
      <c r="G15" s="45">
        <f t="shared" si="0"/>
        <v>7</v>
      </c>
      <c r="H15" s="45">
        <f t="shared" si="0"/>
        <v>0</v>
      </c>
      <c r="I15" s="45">
        <f t="shared" si="0"/>
        <v>0</v>
      </c>
      <c r="J15" s="45">
        <f t="shared" si="0"/>
        <v>0</v>
      </c>
      <c r="K15" s="46">
        <f t="shared" si="0"/>
        <v>0</v>
      </c>
      <c r="L15" s="47">
        <f t="shared" si="0"/>
        <v>1479</v>
      </c>
      <c r="M15" s="48">
        <f t="shared" si="0"/>
        <v>4</v>
      </c>
      <c r="N15" s="48">
        <f t="shared" si="0"/>
        <v>1423</v>
      </c>
      <c r="O15" s="48">
        <f t="shared" si="0"/>
        <v>38</v>
      </c>
      <c r="P15" s="48">
        <f t="shared" si="0"/>
        <v>45</v>
      </c>
      <c r="Q15" s="48">
        <f t="shared" si="0"/>
        <v>0</v>
      </c>
      <c r="R15" s="48">
        <f t="shared" si="0"/>
        <v>0</v>
      </c>
      <c r="S15" s="48">
        <f t="shared" si="0"/>
        <v>0</v>
      </c>
      <c r="T15" s="49">
        <f t="shared" si="0"/>
        <v>0</v>
      </c>
      <c r="U15" s="9"/>
      <c r="V15" s="178" t="s">
        <v>36</v>
      </c>
      <c r="W15" s="179"/>
      <c r="X15" s="44">
        <f t="shared" ref="X15:AF15" si="1">SUM(X4:X14)</f>
        <v>123</v>
      </c>
      <c r="Y15" s="45">
        <f t="shared" si="1"/>
        <v>0</v>
      </c>
      <c r="Z15" s="45">
        <f t="shared" si="1"/>
        <v>190</v>
      </c>
      <c r="AA15" s="45">
        <f t="shared" si="1"/>
        <v>0</v>
      </c>
      <c r="AB15" s="45">
        <f t="shared" si="1"/>
        <v>13</v>
      </c>
      <c r="AC15" s="45">
        <f t="shared" si="1"/>
        <v>0</v>
      </c>
      <c r="AD15" s="45">
        <f t="shared" si="1"/>
        <v>0</v>
      </c>
      <c r="AE15" s="45">
        <f t="shared" si="1"/>
        <v>0</v>
      </c>
      <c r="AF15" s="46">
        <f t="shared" si="1"/>
        <v>0</v>
      </c>
      <c r="AG15" s="47">
        <f t="shared" ref="AG15:AO15" si="2">AG13+AG12+AG11+AG10+AG9+AG8+AG7+AG6+AG5+AG4</f>
        <v>2089</v>
      </c>
      <c r="AH15" s="48">
        <f t="shared" si="2"/>
        <v>2</v>
      </c>
      <c r="AI15" s="48">
        <f t="shared" si="2"/>
        <v>1058</v>
      </c>
      <c r="AJ15" s="48">
        <f t="shared" si="2"/>
        <v>6</v>
      </c>
      <c r="AK15" s="48">
        <f t="shared" si="2"/>
        <v>40</v>
      </c>
      <c r="AL15" s="48">
        <f t="shared" si="2"/>
        <v>1</v>
      </c>
      <c r="AM15" s="48">
        <f t="shared" si="2"/>
        <v>2</v>
      </c>
      <c r="AN15" s="48">
        <f t="shared" si="2"/>
        <v>3</v>
      </c>
      <c r="AO15" s="49">
        <f t="shared" si="2"/>
        <v>1</v>
      </c>
    </row>
    <row r="16" spans="1:44" ht="12.75" hidden="1" customHeight="1" x14ac:dyDescent="0.2">
      <c r="A16" s="50"/>
      <c r="B16" s="51"/>
      <c r="V16" s="50"/>
      <c r="W16" s="51"/>
      <c r="AO16" s="51"/>
    </row>
    <row r="17" spans="1:41" ht="12.75" hidden="1" customHeight="1" x14ac:dyDescent="0.2">
      <c r="A17" s="169" t="s">
        <v>2</v>
      </c>
      <c r="B17" s="52"/>
      <c r="C17" s="171"/>
      <c r="D17" s="164"/>
      <c r="E17" s="164"/>
      <c r="F17" s="164"/>
      <c r="G17" s="164"/>
      <c r="H17" s="164"/>
      <c r="I17" s="164"/>
      <c r="J17" s="164"/>
      <c r="K17" s="172"/>
      <c r="L17" s="183" t="s">
        <v>37</v>
      </c>
      <c r="M17" s="164"/>
      <c r="N17" s="164"/>
      <c r="O17" s="164"/>
      <c r="P17" s="164"/>
      <c r="Q17" s="164"/>
      <c r="R17" s="164"/>
      <c r="S17" s="164"/>
      <c r="T17" s="172"/>
      <c r="V17" s="169" t="s">
        <v>2</v>
      </c>
      <c r="W17" s="52"/>
      <c r="X17" s="171"/>
      <c r="Y17" s="164"/>
      <c r="Z17" s="164"/>
      <c r="AA17" s="164"/>
      <c r="AB17" s="164"/>
      <c r="AC17" s="164"/>
      <c r="AD17" s="164"/>
      <c r="AE17" s="164"/>
      <c r="AF17" s="172"/>
      <c r="AG17" s="183" t="s">
        <v>37</v>
      </c>
      <c r="AH17" s="164"/>
      <c r="AI17" s="164"/>
      <c r="AJ17" s="164"/>
      <c r="AK17" s="164"/>
      <c r="AL17" s="164"/>
      <c r="AM17" s="164"/>
      <c r="AN17" s="164"/>
      <c r="AO17" s="172"/>
    </row>
    <row r="18" spans="1:41" ht="12.75" hidden="1" customHeight="1" x14ac:dyDescent="0.2">
      <c r="A18" s="170"/>
      <c r="B18" s="53"/>
      <c r="C18" s="27"/>
      <c r="D18" s="28"/>
      <c r="E18" s="28"/>
      <c r="F18" s="28"/>
      <c r="G18" s="28"/>
      <c r="H18" s="28"/>
      <c r="I18" s="28"/>
      <c r="J18" s="28"/>
      <c r="K18" s="28"/>
      <c r="L18" s="28" t="s">
        <v>7</v>
      </c>
      <c r="M18" s="28" t="s">
        <v>8</v>
      </c>
      <c r="N18" s="28" t="s">
        <v>9</v>
      </c>
      <c r="O18" s="28" t="s">
        <v>10</v>
      </c>
      <c r="P18" s="28" t="s">
        <v>11</v>
      </c>
      <c r="Q18" s="28" t="s">
        <v>12</v>
      </c>
      <c r="R18" s="28" t="s">
        <v>13</v>
      </c>
      <c r="S18" s="28" t="s">
        <v>14</v>
      </c>
      <c r="T18" s="54" t="s">
        <v>15</v>
      </c>
      <c r="V18" s="170"/>
      <c r="W18" s="53"/>
      <c r="X18" s="27"/>
      <c r="Y18" s="28"/>
      <c r="Z18" s="28"/>
      <c r="AA18" s="28"/>
      <c r="AB18" s="28"/>
      <c r="AC18" s="28"/>
      <c r="AD18" s="28"/>
      <c r="AE18" s="28"/>
      <c r="AF18" s="28"/>
      <c r="AG18" s="28" t="s">
        <v>7</v>
      </c>
      <c r="AH18" s="28" t="s">
        <v>8</v>
      </c>
      <c r="AI18" s="28" t="s">
        <v>9</v>
      </c>
      <c r="AJ18" s="28" t="s">
        <v>10</v>
      </c>
      <c r="AK18" s="28" t="s">
        <v>11</v>
      </c>
      <c r="AL18" s="28" t="s">
        <v>12</v>
      </c>
      <c r="AM18" s="28" t="s">
        <v>13</v>
      </c>
      <c r="AN18" s="28" t="s">
        <v>14</v>
      </c>
      <c r="AO18" s="54" t="s">
        <v>15</v>
      </c>
    </row>
    <row r="19" spans="1:41" ht="12.75" hidden="1" customHeight="1" x14ac:dyDescent="0.2">
      <c r="A19" s="55" t="s">
        <v>38</v>
      </c>
      <c r="B19" s="56"/>
      <c r="C19" s="38"/>
      <c r="D19" s="39"/>
      <c r="E19" s="39"/>
      <c r="F19" s="39"/>
      <c r="G19" s="39"/>
      <c r="H19" s="39"/>
      <c r="I19" s="39"/>
      <c r="J19" s="39"/>
      <c r="K19" s="39"/>
      <c r="L19" s="57"/>
      <c r="M19" s="57"/>
      <c r="N19" s="57"/>
      <c r="O19" s="57"/>
      <c r="P19" s="57"/>
      <c r="Q19" s="57"/>
      <c r="R19" s="57"/>
      <c r="S19" s="57"/>
      <c r="T19" s="58"/>
      <c r="V19" s="55" t="s">
        <v>38</v>
      </c>
      <c r="W19" s="56"/>
      <c r="X19" s="38"/>
      <c r="Y19" s="39"/>
      <c r="Z19" s="39"/>
      <c r="AA19" s="39"/>
      <c r="AB19" s="39"/>
      <c r="AC19" s="39"/>
      <c r="AD19" s="39"/>
      <c r="AE19" s="39"/>
      <c r="AF19" s="39"/>
      <c r="AG19" s="57"/>
      <c r="AH19" s="57"/>
      <c r="AI19" s="57"/>
      <c r="AJ19" s="57"/>
      <c r="AK19" s="57"/>
      <c r="AL19" s="57"/>
      <c r="AM19" s="57"/>
      <c r="AN19" s="57"/>
      <c r="AO19" s="58"/>
    </row>
    <row r="20" spans="1:41" ht="12.75" hidden="1" customHeight="1" x14ac:dyDescent="0.2">
      <c r="A20" s="55" t="s">
        <v>32</v>
      </c>
      <c r="B20" s="56"/>
      <c r="C20" s="38"/>
      <c r="D20" s="39"/>
      <c r="E20" s="39"/>
      <c r="F20" s="39"/>
      <c r="G20" s="39"/>
      <c r="H20" s="39"/>
      <c r="I20" s="39"/>
      <c r="J20" s="39"/>
      <c r="K20" s="39"/>
      <c r="L20" s="57"/>
      <c r="M20" s="57"/>
      <c r="N20" s="57"/>
      <c r="O20" s="57"/>
      <c r="P20" s="57"/>
      <c r="Q20" s="57"/>
      <c r="R20" s="57"/>
      <c r="S20" s="57"/>
      <c r="T20" s="58"/>
      <c r="V20" s="55" t="s">
        <v>32</v>
      </c>
      <c r="W20" s="56"/>
      <c r="X20" s="38"/>
      <c r="Y20" s="39"/>
      <c r="Z20" s="39"/>
      <c r="AA20" s="39"/>
      <c r="AB20" s="39"/>
      <c r="AC20" s="39"/>
      <c r="AD20" s="39"/>
      <c r="AE20" s="39"/>
      <c r="AF20" s="39"/>
      <c r="AG20" s="57"/>
      <c r="AH20" s="57"/>
      <c r="AI20" s="57"/>
      <c r="AJ20" s="57"/>
      <c r="AK20" s="57"/>
      <c r="AL20" s="57"/>
      <c r="AM20" s="57"/>
      <c r="AN20" s="57"/>
      <c r="AO20" s="58"/>
    </row>
    <row r="21" spans="1:41" ht="12.75" hidden="1" customHeight="1" x14ac:dyDescent="0.2">
      <c r="A21" s="33"/>
      <c r="B21" s="34"/>
      <c r="C21" s="38"/>
      <c r="D21" s="39"/>
      <c r="E21" s="39"/>
      <c r="F21" s="39"/>
      <c r="G21" s="39"/>
      <c r="H21" s="39"/>
      <c r="I21" s="39"/>
      <c r="J21" s="39"/>
      <c r="K21" s="39"/>
      <c r="L21" s="22"/>
      <c r="M21" s="22"/>
      <c r="N21" s="22"/>
      <c r="O21" s="22"/>
      <c r="P21" s="22"/>
      <c r="Q21" s="22"/>
      <c r="R21" s="22"/>
      <c r="S21" s="22"/>
      <c r="T21" s="23"/>
      <c r="V21" s="33"/>
      <c r="W21" s="34"/>
      <c r="X21" s="38"/>
      <c r="Y21" s="39"/>
      <c r="Z21" s="39"/>
      <c r="AA21" s="39"/>
      <c r="AB21" s="39"/>
      <c r="AC21" s="39"/>
      <c r="AD21" s="39"/>
      <c r="AE21" s="39"/>
      <c r="AF21" s="39"/>
      <c r="AG21" s="22"/>
      <c r="AH21" s="22"/>
      <c r="AI21" s="22"/>
      <c r="AJ21" s="22"/>
      <c r="AK21" s="22"/>
      <c r="AL21" s="22"/>
      <c r="AM21" s="22"/>
      <c r="AN21" s="22"/>
      <c r="AO21" s="23"/>
    </row>
    <row r="22" spans="1:41" ht="12.75" hidden="1" customHeight="1" x14ac:dyDescent="0.2">
      <c r="A22" s="33"/>
      <c r="B22" s="34"/>
      <c r="C22" s="38"/>
      <c r="D22" s="39"/>
      <c r="E22" s="39"/>
      <c r="F22" s="39"/>
      <c r="G22" s="39"/>
      <c r="H22" s="39"/>
      <c r="I22" s="39"/>
      <c r="J22" s="39"/>
      <c r="K22" s="39"/>
      <c r="L22" s="22"/>
      <c r="M22" s="22"/>
      <c r="N22" s="22"/>
      <c r="O22" s="22"/>
      <c r="P22" s="22"/>
      <c r="Q22" s="22"/>
      <c r="R22" s="22"/>
      <c r="S22" s="22"/>
      <c r="T22" s="23"/>
      <c r="V22" s="33"/>
      <c r="W22" s="34"/>
      <c r="X22" s="38"/>
      <c r="Y22" s="39"/>
      <c r="Z22" s="39"/>
      <c r="AA22" s="39"/>
      <c r="AB22" s="39"/>
      <c r="AC22" s="39"/>
      <c r="AD22" s="39"/>
      <c r="AE22" s="39"/>
      <c r="AF22" s="39"/>
      <c r="AG22" s="22"/>
      <c r="AH22" s="22"/>
      <c r="AI22" s="22"/>
      <c r="AJ22" s="22"/>
      <c r="AK22" s="22"/>
      <c r="AL22" s="22"/>
      <c r="AM22" s="22"/>
      <c r="AN22" s="22"/>
      <c r="AO22" s="23"/>
    </row>
    <row r="23" spans="1:41" ht="12.75" hidden="1" customHeight="1" x14ac:dyDescent="0.2">
      <c r="A23" s="33"/>
      <c r="B23" s="34"/>
      <c r="C23" s="38"/>
      <c r="D23" s="39"/>
      <c r="E23" s="39"/>
      <c r="F23" s="39"/>
      <c r="G23" s="39"/>
      <c r="H23" s="39"/>
      <c r="I23" s="39"/>
      <c r="J23" s="39"/>
      <c r="K23" s="39"/>
      <c r="L23" s="22"/>
      <c r="M23" s="22"/>
      <c r="N23" s="22"/>
      <c r="O23" s="22"/>
      <c r="P23" s="22"/>
      <c r="Q23" s="22"/>
      <c r="R23" s="22"/>
      <c r="S23" s="22"/>
      <c r="T23" s="23"/>
      <c r="V23" s="33"/>
      <c r="W23" s="34"/>
      <c r="X23" s="38"/>
      <c r="Y23" s="39"/>
      <c r="Z23" s="39"/>
      <c r="AA23" s="39"/>
      <c r="AB23" s="39"/>
      <c r="AC23" s="39"/>
      <c r="AD23" s="39"/>
      <c r="AE23" s="39"/>
      <c r="AF23" s="39"/>
      <c r="AG23" s="22"/>
      <c r="AH23" s="22"/>
      <c r="AI23" s="22"/>
      <c r="AJ23" s="22"/>
      <c r="AK23" s="22"/>
      <c r="AL23" s="22"/>
      <c r="AM23" s="22"/>
      <c r="AN23" s="22"/>
      <c r="AO23" s="23"/>
    </row>
    <row r="24" spans="1:41" ht="13.5" hidden="1" customHeight="1" thickBot="1" x14ac:dyDescent="0.25">
      <c r="A24" s="59" t="s">
        <v>35</v>
      </c>
      <c r="B24" s="43"/>
      <c r="C24" s="60"/>
      <c r="D24" s="61"/>
      <c r="E24" s="61"/>
      <c r="F24" s="61"/>
      <c r="G24" s="61"/>
      <c r="H24" s="61"/>
      <c r="I24" s="61"/>
      <c r="J24" s="61"/>
      <c r="K24" s="61"/>
      <c r="L24" s="48"/>
      <c r="M24" s="48"/>
      <c r="N24" s="48"/>
      <c r="O24" s="48"/>
      <c r="P24" s="48"/>
      <c r="Q24" s="48"/>
      <c r="R24" s="48"/>
      <c r="S24" s="48"/>
      <c r="T24" s="49"/>
      <c r="V24" s="59" t="s">
        <v>35</v>
      </c>
      <c r="W24" s="43"/>
      <c r="X24" s="60"/>
      <c r="Y24" s="61"/>
      <c r="Z24" s="61"/>
      <c r="AA24" s="61"/>
      <c r="AB24" s="61"/>
      <c r="AC24" s="61"/>
      <c r="AD24" s="61"/>
      <c r="AE24" s="61"/>
      <c r="AF24" s="61"/>
      <c r="AG24" s="48"/>
      <c r="AH24" s="48"/>
      <c r="AI24" s="48"/>
      <c r="AJ24" s="48"/>
      <c r="AK24" s="48"/>
      <c r="AL24" s="48"/>
      <c r="AM24" s="48"/>
      <c r="AN24" s="48"/>
      <c r="AO24" s="49"/>
    </row>
    <row r="25" spans="1:41" ht="12.75" hidden="1" customHeight="1" x14ac:dyDescent="0.2">
      <c r="A25" s="50"/>
      <c r="B25" s="51"/>
      <c r="V25" s="50"/>
      <c r="W25" s="51"/>
      <c r="AO25" s="51"/>
    </row>
    <row r="26" spans="1:41" ht="12.75" hidden="1" customHeight="1" x14ac:dyDescent="0.2">
      <c r="A26" s="50"/>
      <c r="B26" s="51"/>
      <c r="V26" s="50"/>
      <c r="W26" s="51"/>
      <c r="AO26" s="51"/>
    </row>
    <row r="27" spans="1:41" ht="12.75" hidden="1" customHeight="1" x14ac:dyDescent="0.2">
      <c r="A27" s="50"/>
      <c r="B27" s="51"/>
      <c r="V27" s="50"/>
      <c r="W27" s="51"/>
      <c r="AO27" s="51"/>
    </row>
    <row r="28" spans="1:41" ht="9.9499999999999993" customHeight="1" thickBot="1" x14ac:dyDescent="0.25">
      <c r="A28" s="50"/>
      <c r="AO28" s="51"/>
    </row>
    <row r="29" spans="1:41" ht="15" customHeight="1" thickBot="1" x14ac:dyDescent="0.25">
      <c r="A29" s="174" t="s">
        <v>2</v>
      </c>
      <c r="B29" s="175"/>
      <c r="C29" s="171" t="s">
        <v>39</v>
      </c>
      <c r="D29" s="164"/>
      <c r="E29" s="164"/>
      <c r="F29" s="164"/>
      <c r="G29" s="164"/>
      <c r="H29" s="172"/>
      <c r="I29" s="163" t="s">
        <v>40</v>
      </c>
      <c r="J29" s="164"/>
      <c r="K29" s="165"/>
      <c r="L29" s="173" t="s">
        <v>41</v>
      </c>
      <c r="M29" s="164"/>
      <c r="N29" s="164"/>
      <c r="O29" s="164"/>
      <c r="P29" s="164"/>
      <c r="Q29" s="164"/>
      <c r="R29" s="164"/>
      <c r="S29" s="164"/>
      <c r="T29" s="172"/>
      <c r="U29" s="2"/>
      <c r="V29" s="174" t="s">
        <v>2</v>
      </c>
      <c r="W29" s="175"/>
      <c r="X29" s="171" t="s">
        <v>42</v>
      </c>
      <c r="Y29" s="164"/>
      <c r="Z29" s="164"/>
      <c r="AA29" s="164"/>
      <c r="AB29" s="164"/>
      <c r="AC29" s="172"/>
      <c r="AD29" s="163" t="s">
        <v>40</v>
      </c>
      <c r="AE29" s="164"/>
      <c r="AF29" s="165"/>
      <c r="AG29" s="173" t="s">
        <v>43</v>
      </c>
      <c r="AH29" s="164"/>
      <c r="AI29" s="164"/>
      <c r="AJ29" s="164"/>
      <c r="AK29" s="164"/>
      <c r="AL29" s="164"/>
      <c r="AM29" s="164"/>
      <c r="AN29" s="164"/>
      <c r="AO29" s="172"/>
    </row>
    <row r="30" spans="1:41" ht="15" customHeight="1" thickBot="1" x14ac:dyDescent="0.25">
      <c r="A30" s="176"/>
      <c r="B30" s="177"/>
      <c r="C30" s="4" t="s">
        <v>7</v>
      </c>
      <c r="D30" s="5" t="s">
        <v>8</v>
      </c>
      <c r="E30" s="5" t="s">
        <v>9</v>
      </c>
      <c r="F30" s="5" t="s">
        <v>10</v>
      </c>
      <c r="G30" s="5" t="s">
        <v>11</v>
      </c>
      <c r="H30" s="5" t="s">
        <v>12</v>
      </c>
      <c r="I30" s="5" t="s">
        <v>13</v>
      </c>
      <c r="J30" s="5" t="s">
        <v>14</v>
      </c>
      <c r="K30" s="6" t="s">
        <v>15</v>
      </c>
      <c r="L30" s="7" t="s">
        <v>7</v>
      </c>
      <c r="M30" s="5" t="s">
        <v>8</v>
      </c>
      <c r="N30" s="5" t="s">
        <v>9</v>
      </c>
      <c r="O30" s="5" t="s">
        <v>10</v>
      </c>
      <c r="P30" s="5" t="s">
        <v>11</v>
      </c>
      <c r="Q30" s="5" t="s">
        <v>12</v>
      </c>
      <c r="R30" s="5" t="s">
        <v>13</v>
      </c>
      <c r="S30" s="5" t="s">
        <v>14</v>
      </c>
      <c r="T30" s="8" t="s">
        <v>15</v>
      </c>
      <c r="U30" s="9"/>
      <c r="V30" s="176"/>
      <c r="W30" s="177"/>
      <c r="X30" s="4" t="s">
        <v>7</v>
      </c>
      <c r="Y30" s="5" t="s">
        <v>8</v>
      </c>
      <c r="Z30" s="5" t="s">
        <v>9</v>
      </c>
      <c r="AA30" s="5" t="s">
        <v>10</v>
      </c>
      <c r="AB30" s="5" t="s">
        <v>11</v>
      </c>
      <c r="AC30" s="5" t="s">
        <v>12</v>
      </c>
      <c r="AD30" s="5" t="s">
        <v>13</v>
      </c>
      <c r="AE30" s="5" t="s">
        <v>14</v>
      </c>
      <c r="AF30" s="6" t="s">
        <v>15</v>
      </c>
      <c r="AG30" s="7" t="s">
        <v>7</v>
      </c>
      <c r="AH30" s="5" t="s">
        <v>8</v>
      </c>
      <c r="AI30" s="5" t="s">
        <v>9</v>
      </c>
      <c r="AJ30" s="5" t="s">
        <v>10</v>
      </c>
      <c r="AK30" s="5" t="s">
        <v>11</v>
      </c>
      <c r="AL30" s="5" t="s">
        <v>12</v>
      </c>
      <c r="AM30" s="5" t="s">
        <v>13</v>
      </c>
      <c r="AN30" s="5" t="s">
        <v>14</v>
      </c>
      <c r="AO30" s="8" t="s">
        <v>15</v>
      </c>
    </row>
    <row r="31" spans="1:41" ht="15" customHeight="1" x14ac:dyDescent="0.2">
      <c r="A31" s="62" t="s">
        <v>16</v>
      </c>
      <c r="B31" s="63" t="s">
        <v>17</v>
      </c>
      <c r="C31" s="110">
        <v>8</v>
      </c>
      <c r="D31" s="111"/>
      <c r="E31" s="111">
        <v>29</v>
      </c>
      <c r="F31" s="111"/>
      <c r="G31" s="111"/>
      <c r="H31" s="111"/>
      <c r="I31" s="111"/>
      <c r="J31" s="111"/>
      <c r="K31" s="112"/>
      <c r="L31" s="129">
        <f t="shared" ref="L31:L40" si="3">SUM(L4-C31)</f>
        <v>6</v>
      </c>
      <c r="M31" s="130">
        <f t="shared" ref="M31:M40" si="4">SUM(M4-D31)</f>
        <v>0</v>
      </c>
      <c r="N31" s="130">
        <f t="shared" ref="N31:N40" si="5">SUM(N4-E31)</f>
        <v>8</v>
      </c>
      <c r="O31" s="130">
        <f t="shared" ref="O31:O40" si="6">SUM(O4-F31)</f>
        <v>0</v>
      </c>
      <c r="P31" s="130">
        <f t="shared" ref="P31:P40" si="7">SUM(P4-G31)</f>
        <v>0</v>
      </c>
      <c r="Q31" s="130">
        <f t="shared" ref="Q31:Q40" si="8">SUM(Q4-H31)</f>
        <v>0</v>
      </c>
      <c r="R31" s="130">
        <f t="shared" ref="R31:R40" si="9">SUM(R4-I31)</f>
        <v>0</v>
      </c>
      <c r="S31" s="130">
        <f t="shared" ref="S31:S40" si="10">SUM(S4-J31)</f>
        <v>0</v>
      </c>
      <c r="T31" s="131">
        <f t="shared" ref="T31:T40" si="11">SUM(T4-K31)</f>
        <v>0</v>
      </c>
      <c r="V31" s="13" t="s">
        <v>18</v>
      </c>
      <c r="W31" s="14" t="s">
        <v>17</v>
      </c>
      <c r="X31" s="132"/>
      <c r="Y31" s="133"/>
      <c r="Z31" s="133"/>
      <c r="AA31" s="133"/>
      <c r="AB31" s="133"/>
      <c r="AC31" s="133"/>
      <c r="AD31" s="133"/>
      <c r="AE31" s="133"/>
      <c r="AF31" s="134"/>
      <c r="AG31" s="129">
        <f t="shared" ref="AG31:AG40" si="12">SUM(AG4-X31)</f>
        <v>8</v>
      </c>
      <c r="AH31" s="130">
        <f t="shared" ref="AH31:AH40" si="13">SUM(AH4-Y31)</f>
        <v>0</v>
      </c>
      <c r="AI31" s="130">
        <f t="shared" ref="AI31:AI40" si="14">SUM(AI4-Z31)</f>
        <v>48</v>
      </c>
      <c r="AJ31" s="130">
        <f t="shared" ref="AJ31:AJ40" si="15">SUM(AJ4-AA31)</f>
        <v>0</v>
      </c>
      <c r="AK31" s="130">
        <f t="shared" ref="AK31:AK40" si="16">SUM(AK4-AB31)</f>
        <v>0</v>
      </c>
      <c r="AL31" s="130">
        <f t="shared" ref="AL31:AL40" si="17">SUM(AL4-AC31)</f>
        <v>0</v>
      </c>
      <c r="AM31" s="130">
        <f t="shared" ref="AM31:AM40" si="18">SUM(AM4-AD31)</f>
        <v>0</v>
      </c>
      <c r="AN31" s="130">
        <f t="shared" ref="AN31:AN40" si="19">SUM(AN4-AE31)</f>
        <v>0</v>
      </c>
      <c r="AO31" s="131">
        <f t="shared" ref="AO31:AO40" si="20">SUM(AO4-AF31)</f>
        <v>0</v>
      </c>
    </row>
    <row r="32" spans="1:41" ht="15" customHeight="1" x14ac:dyDescent="0.2">
      <c r="A32" s="33" t="s">
        <v>19</v>
      </c>
      <c r="B32" s="34" t="s">
        <v>17</v>
      </c>
      <c r="C32" s="118"/>
      <c r="D32" s="119"/>
      <c r="E32" s="119"/>
      <c r="F32" s="119"/>
      <c r="G32" s="119"/>
      <c r="H32" s="119"/>
      <c r="I32" s="119"/>
      <c r="J32" s="119"/>
      <c r="K32" s="120"/>
      <c r="L32" s="135">
        <f t="shared" si="3"/>
        <v>26</v>
      </c>
      <c r="M32" s="136">
        <f t="shared" si="4"/>
        <v>0</v>
      </c>
      <c r="N32" s="136">
        <f t="shared" si="5"/>
        <v>8</v>
      </c>
      <c r="O32" s="136">
        <f t="shared" si="6"/>
        <v>5</v>
      </c>
      <c r="P32" s="136">
        <f t="shared" si="7"/>
        <v>0</v>
      </c>
      <c r="Q32" s="136">
        <f t="shared" si="8"/>
        <v>0</v>
      </c>
      <c r="R32" s="136">
        <f t="shared" si="9"/>
        <v>0</v>
      </c>
      <c r="S32" s="136">
        <f t="shared" si="10"/>
        <v>0</v>
      </c>
      <c r="T32" s="137">
        <f t="shared" si="11"/>
        <v>0</v>
      </c>
      <c r="V32" s="16" t="s">
        <v>20</v>
      </c>
      <c r="W32" s="17" t="s">
        <v>17</v>
      </c>
      <c r="X32" s="138"/>
      <c r="Y32" s="139"/>
      <c r="Z32" s="139"/>
      <c r="AA32" s="139"/>
      <c r="AB32" s="139"/>
      <c r="AC32" s="139"/>
      <c r="AD32" s="139"/>
      <c r="AE32" s="139"/>
      <c r="AF32" s="140"/>
      <c r="AG32" s="135">
        <f t="shared" si="12"/>
        <v>1</v>
      </c>
      <c r="AH32" s="136">
        <f t="shared" si="13"/>
        <v>0</v>
      </c>
      <c r="AI32" s="136">
        <f t="shared" si="14"/>
        <v>0</v>
      </c>
      <c r="AJ32" s="136">
        <f t="shared" si="15"/>
        <v>0</v>
      </c>
      <c r="AK32" s="136">
        <f t="shared" si="16"/>
        <v>0</v>
      </c>
      <c r="AL32" s="136">
        <f t="shared" si="17"/>
        <v>1</v>
      </c>
      <c r="AM32" s="136">
        <f t="shared" si="18"/>
        <v>0</v>
      </c>
      <c r="AN32" s="136">
        <f t="shared" si="19"/>
        <v>0</v>
      </c>
      <c r="AO32" s="137">
        <f t="shared" si="20"/>
        <v>0</v>
      </c>
    </row>
    <row r="33" spans="1:45" ht="15" customHeight="1" x14ac:dyDescent="0.2">
      <c r="A33" s="16" t="s">
        <v>21</v>
      </c>
      <c r="B33" s="34" t="s">
        <v>22</v>
      </c>
      <c r="C33" s="118"/>
      <c r="D33" s="119"/>
      <c r="E33" s="119"/>
      <c r="F33" s="119"/>
      <c r="G33" s="119"/>
      <c r="H33" s="119"/>
      <c r="I33" s="119"/>
      <c r="J33" s="119"/>
      <c r="K33" s="120"/>
      <c r="L33" s="135">
        <f t="shared" si="3"/>
        <v>0</v>
      </c>
      <c r="M33" s="136">
        <f t="shared" si="4"/>
        <v>0</v>
      </c>
      <c r="N33" s="136">
        <f t="shared" si="5"/>
        <v>14</v>
      </c>
      <c r="O33" s="136">
        <f t="shared" si="6"/>
        <v>0</v>
      </c>
      <c r="P33" s="136">
        <f t="shared" si="7"/>
        <v>0</v>
      </c>
      <c r="Q33" s="136">
        <f t="shared" si="8"/>
        <v>0</v>
      </c>
      <c r="R33" s="136">
        <f t="shared" si="9"/>
        <v>0</v>
      </c>
      <c r="S33" s="136">
        <f t="shared" si="10"/>
        <v>0</v>
      </c>
      <c r="T33" s="137">
        <f t="shared" si="11"/>
        <v>0</v>
      </c>
      <c r="V33" s="16" t="s">
        <v>23</v>
      </c>
      <c r="W33" s="17" t="s">
        <v>17</v>
      </c>
      <c r="X33" s="138"/>
      <c r="Y33" s="139"/>
      <c r="Z33" s="139"/>
      <c r="AA33" s="139"/>
      <c r="AB33" s="139"/>
      <c r="AC33" s="139"/>
      <c r="AD33" s="139"/>
      <c r="AE33" s="139"/>
      <c r="AF33" s="140"/>
      <c r="AG33" s="135">
        <f t="shared" si="12"/>
        <v>0</v>
      </c>
      <c r="AH33" s="136">
        <f t="shared" si="13"/>
        <v>0</v>
      </c>
      <c r="AI33" s="136">
        <f t="shared" si="14"/>
        <v>0</v>
      </c>
      <c r="AJ33" s="136">
        <f t="shared" si="15"/>
        <v>0</v>
      </c>
      <c r="AK33" s="136">
        <f t="shared" si="16"/>
        <v>0</v>
      </c>
      <c r="AL33" s="136">
        <f t="shared" si="17"/>
        <v>0</v>
      </c>
      <c r="AM33" s="136">
        <f t="shared" si="18"/>
        <v>0</v>
      </c>
      <c r="AN33" s="136">
        <f t="shared" si="19"/>
        <v>0</v>
      </c>
      <c r="AO33" s="137">
        <f t="shared" si="20"/>
        <v>0</v>
      </c>
    </row>
    <row r="34" spans="1:45" ht="15" customHeight="1" x14ac:dyDescent="0.2">
      <c r="A34" s="108" t="s">
        <v>24</v>
      </c>
      <c r="B34" s="109" t="s">
        <v>22</v>
      </c>
      <c r="C34" s="138"/>
      <c r="D34" s="139"/>
      <c r="E34" s="139"/>
      <c r="F34" s="139"/>
      <c r="G34" s="139"/>
      <c r="H34" s="139"/>
      <c r="I34" s="139"/>
      <c r="J34" s="139"/>
      <c r="K34" s="140"/>
      <c r="L34" s="135">
        <f t="shared" si="3"/>
        <v>0</v>
      </c>
      <c r="M34" s="136">
        <f t="shared" si="4"/>
        <v>0</v>
      </c>
      <c r="N34" s="136">
        <f t="shared" si="5"/>
        <v>0</v>
      </c>
      <c r="O34" s="136">
        <f t="shared" si="6"/>
        <v>0</v>
      </c>
      <c r="P34" s="136">
        <f t="shared" si="7"/>
        <v>0</v>
      </c>
      <c r="Q34" s="136">
        <f t="shared" si="8"/>
        <v>0</v>
      </c>
      <c r="R34" s="136">
        <f t="shared" si="9"/>
        <v>0</v>
      </c>
      <c r="S34" s="136">
        <f t="shared" si="10"/>
        <v>0</v>
      </c>
      <c r="T34" s="137">
        <f t="shared" si="11"/>
        <v>0</v>
      </c>
      <c r="V34" s="16" t="s">
        <v>25</v>
      </c>
      <c r="W34" s="17" t="s">
        <v>17</v>
      </c>
      <c r="X34" s="138"/>
      <c r="Y34" s="139"/>
      <c r="Z34" s="139"/>
      <c r="AA34" s="139"/>
      <c r="AB34" s="139"/>
      <c r="AC34" s="139"/>
      <c r="AD34" s="139"/>
      <c r="AE34" s="139"/>
      <c r="AF34" s="140"/>
      <c r="AG34" s="135">
        <f t="shared" si="12"/>
        <v>60</v>
      </c>
      <c r="AH34" s="136">
        <f t="shared" si="13"/>
        <v>0</v>
      </c>
      <c r="AI34" s="136">
        <f t="shared" si="14"/>
        <v>34</v>
      </c>
      <c r="AJ34" s="136">
        <f t="shared" si="15"/>
        <v>0</v>
      </c>
      <c r="AK34" s="136">
        <f t="shared" si="16"/>
        <v>0</v>
      </c>
      <c r="AL34" s="136">
        <f t="shared" si="17"/>
        <v>0</v>
      </c>
      <c r="AM34" s="136">
        <f t="shared" si="18"/>
        <v>0</v>
      </c>
      <c r="AN34" s="136">
        <f t="shared" si="19"/>
        <v>0</v>
      </c>
      <c r="AO34" s="137">
        <f t="shared" si="20"/>
        <v>0</v>
      </c>
    </row>
    <row r="35" spans="1:45" ht="15" customHeight="1" x14ac:dyDescent="0.2">
      <c r="A35" s="33" t="s">
        <v>26</v>
      </c>
      <c r="B35" s="34" t="s">
        <v>27</v>
      </c>
      <c r="C35" s="141">
        <v>110</v>
      </c>
      <c r="D35" s="127"/>
      <c r="E35" s="127">
        <v>44</v>
      </c>
      <c r="F35" s="127"/>
      <c r="G35" s="127"/>
      <c r="H35" s="127"/>
      <c r="I35" s="127"/>
      <c r="J35" s="127"/>
      <c r="K35" s="142"/>
      <c r="L35" s="143">
        <f t="shared" si="3"/>
        <v>553</v>
      </c>
      <c r="M35" s="144">
        <f t="shared" si="4"/>
        <v>0</v>
      </c>
      <c r="N35" s="144">
        <f t="shared" si="5"/>
        <v>737</v>
      </c>
      <c r="O35" s="144">
        <f t="shared" si="6"/>
        <v>0</v>
      </c>
      <c r="P35" s="144">
        <f t="shared" si="7"/>
        <v>0</v>
      </c>
      <c r="Q35" s="144">
        <f t="shared" si="8"/>
        <v>0</v>
      </c>
      <c r="R35" s="144">
        <f t="shared" si="9"/>
        <v>0</v>
      </c>
      <c r="S35" s="144">
        <f t="shared" si="10"/>
        <v>0</v>
      </c>
      <c r="T35" s="145">
        <f t="shared" si="11"/>
        <v>0</v>
      </c>
      <c r="V35" s="25" t="s">
        <v>28</v>
      </c>
      <c r="W35" s="26" t="s">
        <v>27</v>
      </c>
      <c r="X35" s="141">
        <v>102</v>
      </c>
      <c r="Y35" s="127"/>
      <c r="Z35" s="127">
        <v>42</v>
      </c>
      <c r="AA35" s="127">
        <v>1</v>
      </c>
      <c r="AB35" s="127">
        <v>27</v>
      </c>
      <c r="AC35" s="127"/>
      <c r="AD35" s="127"/>
      <c r="AE35" s="127"/>
      <c r="AF35" s="142"/>
      <c r="AG35" s="143">
        <f t="shared" si="12"/>
        <v>766</v>
      </c>
      <c r="AH35" s="144">
        <f t="shared" si="13"/>
        <v>0</v>
      </c>
      <c r="AI35" s="144">
        <f t="shared" si="14"/>
        <v>180</v>
      </c>
      <c r="AJ35" s="144">
        <f t="shared" si="15"/>
        <v>5</v>
      </c>
      <c r="AK35" s="144">
        <f t="shared" si="16"/>
        <v>13</v>
      </c>
      <c r="AL35" s="144">
        <f t="shared" si="17"/>
        <v>0</v>
      </c>
      <c r="AM35" s="144">
        <f t="shared" si="18"/>
        <v>0</v>
      </c>
      <c r="AN35" s="144">
        <f t="shared" si="19"/>
        <v>0</v>
      </c>
      <c r="AO35" s="145">
        <f t="shared" si="20"/>
        <v>0</v>
      </c>
    </row>
    <row r="36" spans="1:45" ht="15" customHeight="1" x14ac:dyDescent="0.2">
      <c r="A36" s="33" t="s">
        <v>29</v>
      </c>
      <c r="B36" s="34" t="s">
        <v>27</v>
      </c>
      <c r="C36" s="141">
        <v>95</v>
      </c>
      <c r="D36" s="127"/>
      <c r="E36" s="127">
        <v>181</v>
      </c>
      <c r="F36" s="127">
        <v>3</v>
      </c>
      <c r="G36" s="127">
        <v>29</v>
      </c>
      <c r="H36" s="127"/>
      <c r="I36" s="127"/>
      <c r="J36" s="127"/>
      <c r="K36" s="142"/>
      <c r="L36" s="143">
        <f t="shared" si="3"/>
        <v>681</v>
      </c>
      <c r="M36" s="144">
        <f t="shared" si="4"/>
        <v>4</v>
      </c>
      <c r="N36" s="144">
        <f t="shared" si="5"/>
        <v>402</v>
      </c>
      <c r="O36" s="144">
        <f t="shared" si="6"/>
        <v>30</v>
      </c>
      <c r="P36" s="144">
        <f t="shared" si="7"/>
        <v>16</v>
      </c>
      <c r="Q36" s="144">
        <f t="shared" si="8"/>
        <v>0</v>
      </c>
      <c r="R36" s="144">
        <f t="shared" si="9"/>
        <v>0</v>
      </c>
      <c r="S36" s="144">
        <f t="shared" si="10"/>
        <v>0</v>
      </c>
      <c r="T36" s="145">
        <f t="shared" si="11"/>
        <v>0</v>
      </c>
      <c r="V36" s="25" t="s">
        <v>30</v>
      </c>
      <c r="W36" s="26" t="s">
        <v>27</v>
      </c>
      <c r="X36" s="141">
        <v>18</v>
      </c>
      <c r="Y36" s="127"/>
      <c r="Z36" s="127">
        <v>15</v>
      </c>
      <c r="AA36" s="127"/>
      <c r="AB36" s="127"/>
      <c r="AC36" s="127"/>
      <c r="AD36" s="127"/>
      <c r="AE36" s="127"/>
      <c r="AF36" s="142"/>
      <c r="AG36" s="143">
        <f t="shared" si="12"/>
        <v>20</v>
      </c>
      <c r="AH36" s="144">
        <f t="shared" si="13"/>
        <v>0</v>
      </c>
      <c r="AI36" s="144">
        <f t="shared" si="14"/>
        <v>13</v>
      </c>
      <c r="AJ36" s="144">
        <f t="shared" si="15"/>
        <v>0</v>
      </c>
      <c r="AK36" s="144">
        <f t="shared" si="16"/>
        <v>0</v>
      </c>
      <c r="AL36" s="144">
        <f t="shared" si="17"/>
        <v>0</v>
      </c>
      <c r="AM36" s="144">
        <f t="shared" si="18"/>
        <v>0</v>
      </c>
      <c r="AN36" s="144">
        <f t="shared" si="19"/>
        <v>0</v>
      </c>
      <c r="AO36" s="145">
        <f t="shared" si="20"/>
        <v>0</v>
      </c>
    </row>
    <row r="37" spans="1:45" ht="15" customHeight="1" x14ac:dyDescent="0.2">
      <c r="A37" s="33"/>
      <c r="B37" s="34"/>
      <c r="C37" s="38"/>
      <c r="D37" s="39"/>
      <c r="E37" s="39"/>
      <c r="F37" s="39"/>
      <c r="G37" s="39"/>
      <c r="H37" s="39"/>
      <c r="I37" s="39"/>
      <c r="J37" s="39"/>
      <c r="K37" s="64"/>
      <c r="L37" s="146">
        <f t="shared" si="3"/>
        <v>0</v>
      </c>
      <c r="M37" s="147">
        <f t="shared" si="4"/>
        <v>0</v>
      </c>
      <c r="N37" s="147">
        <f t="shared" si="5"/>
        <v>0</v>
      </c>
      <c r="O37" s="147">
        <f t="shared" si="6"/>
        <v>0</v>
      </c>
      <c r="P37" s="147">
        <f t="shared" si="7"/>
        <v>0</v>
      </c>
      <c r="Q37" s="147">
        <f t="shared" si="8"/>
        <v>0</v>
      </c>
      <c r="R37" s="147">
        <f t="shared" si="9"/>
        <v>0</v>
      </c>
      <c r="S37" s="147">
        <f t="shared" si="10"/>
        <v>0</v>
      </c>
      <c r="T37" s="148">
        <f t="shared" si="11"/>
        <v>0</v>
      </c>
      <c r="V37" s="25" t="s">
        <v>31</v>
      </c>
      <c r="W37" s="26" t="s">
        <v>27</v>
      </c>
      <c r="X37" s="141">
        <v>259</v>
      </c>
      <c r="Y37" s="127"/>
      <c r="Z37" s="127">
        <v>204</v>
      </c>
      <c r="AA37" s="127"/>
      <c r="AB37" s="127"/>
      <c r="AC37" s="127"/>
      <c r="AD37" s="127"/>
      <c r="AE37" s="127"/>
      <c r="AF37" s="142">
        <v>1</v>
      </c>
      <c r="AG37" s="143">
        <f t="shared" si="12"/>
        <v>855</v>
      </c>
      <c r="AH37" s="144">
        <f t="shared" si="13"/>
        <v>2</v>
      </c>
      <c r="AI37" s="144">
        <f t="shared" si="14"/>
        <v>522</v>
      </c>
      <c r="AJ37" s="144">
        <f t="shared" si="15"/>
        <v>0</v>
      </c>
      <c r="AK37" s="144">
        <f t="shared" si="16"/>
        <v>0</v>
      </c>
      <c r="AL37" s="144">
        <f t="shared" si="17"/>
        <v>0</v>
      </c>
      <c r="AM37" s="144">
        <f t="shared" si="18"/>
        <v>2</v>
      </c>
      <c r="AN37" s="144">
        <f t="shared" si="19"/>
        <v>3</v>
      </c>
      <c r="AO37" s="145">
        <f t="shared" si="20"/>
        <v>0</v>
      </c>
    </row>
    <row r="38" spans="1:45" ht="15" customHeight="1" x14ac:dyDescent="0.2">
      <c r="A38" s="33"/>
      <c r="B38" s="34"/>
      <c r="C38" s="38"/>
      <c r="D38" s="39"/>
      <c r="E38" s="39"/>
      <c r="F38" s="39"/>
      <c r="G38" s="39"/>
      <c r="H38" s="39"/>
      <c r="I38" s="39"/>
      <c r="J38" s="39"/>
      <c r="K38" s="64"/>
      <c r="L38" s="146">
        <f t="shared" si="3"/>
        <v>0</v>
      </c>
      <c r="M38" s="147">
        <f t="shared" si="4"/>
        <v>0</v>
      </c>
      <c r="N38" s="147">
        <f t="shared" si="5"/>
        <v>0</v>
      </c>
      <c r="O38" s="147">
        <f t="shared" si="6"/>
        <v>0</v>
      </c>
      <c r="P38" s="147">
        <f t="shared" si="7"/>
        <v>0</v>
      </c>
      <c r="Q38" s="147">
        <f t="shared" si="8"/>
        <v>0</v>
      </c>
      <c r="R38" s="147">
        <f t="shared" si="9"/>
        <v>0</v>
      </c>
      <c r="S38" s="147">
        <f t="shared" si="10"/>
        <v>0</v>
      </c>
      <c r="T38" s="148">
        <f t="shared" si="11"/>
        <v>0</v>
      </c>
      <c r="V38" s="25"/>
      <c r="W38" s="26"/>
      <c r="X38" s="38"/>
      <c r="Y38" s="39"/>
      <c r="Z38" s="39"/>
      <c r="AA38" s="21"/>
      <c r="AB38" s="21"/>
      <c r="AC38" s="39"/>
      <c r="AD38" s="39"/>
      <c r="AE38" s="39"/>
      <c r="AF38" s="64"/>
      <c r="AG38" s="146">
        <f t="shared" si="12"/>
        <v>0</v>
      </c>
      <c r="AH38" s="147">
        <f t="shared" si="13"/>
        <v>0</v>
      </c>
      <c r="AI38" s="147">
        <f t="shared" si="14"/>
        <v>0</v>
      </c>
      <c r="AJ38" s="147">
        <f t="shared" si="15"/>
        <v>0</v>
      </c>
      <c r="AK38" s="147">
        <f t="shared" si="16"/>
        <v>0</v>
      </c>
      <c r="AL38" s="147">
        <f t="shared" si="17"/>
        <v>0</v>
      </c>
      <c r="AM38" s="147">
        <f t="shared" si="18"/>
        <v>0</v>
      </c>
      <c r="AN38" s="147">
        <f t="shared" si="19"/>
        <v>0</v>
      </c>
      <c r="AO38" s="148">
        <f t="shared" si="20"/>
        <v>0</v>
      </c>
    </row>
    <row r="39" spans="1:45" ht="15" customHeight="1" x14ac:dyDescent="0.2">
      <c r="A39" s="33"/>
      <c r="B39" s="34"/>
      <c r="C39" s="38"/>
      <c r="D39" s="39"/>
      <c r="E39" s="39"/>
      <c r="F39" s="39"/>
      <c r="G39" s="39"/>
      <c r="H39" s="39"/>
      <c r="I39" s="39"/>
      <c r="J39" s="39"/>
      <c r="K39" s="64"/>
      <c r="L39" s="146">
        <f t="shared" si="3"/>
        <v>0</v>
      </c>
      <c r="M39" s="147">
        <f t="shared" si="4"/>
        <v>0</v>
      </c>
      <c r="N39" s="147">
        <f t="shared" si="5"/>
        <v>0</v>
      </c>
      <c r="O39" s="147">
        <f t="shared" si="6"/>
        <v>0</v>
      </c>
      <c r="P39" s="147">
        <f t="shared" si="7"/>
        <v>0</v>
      </c>
      <c r="Q39" s="147">
        <f t="shared" si="8"/>
        <v>0</v>
      </c>
      <c r="R39" s="147">
        <f t="shared" si="9"/>
        <v>0</v>
      </c>
      <c r="S39" s="147">
        <f t="shared" si="10"/>
        <v>0</v>
      </c>
      <c r="T39" s="148">
        <f t="shared" si="11"/>
        <v>0</v>
      </c>
      <c r="V39" s="25"/>
      <c r="W39" s="26"/>
      <c r="X39" s="38"/>
      <c r="Y39" s="39"/>
      <c r="Z39" s="39"/>
      <c r="AA39" s="39"/>
      <c r="AB39" s="39"/>
      <c r="AC39" s="39"/>
      <c r="AD39" s="39"/>
      <c r="AE39" s="39"/>
      <c r="AF39" s="64"/>
      <c r="AG39" s="146">
        <f t="shared" si="12"/>
        <v>0</v>
      </c>
      <c r="AH39" s="147">
        <f t="shared" si="13"/>
        <v>0</v>
      </c>
      <c r="AI39" s="147">
        <f t="shared" si="14"/>
        <v>0</v>
      </c>
      <c r="AJ39" s="147">
        <f t="shared" si="15"/>
        <v>0</v>
      </c>
      <c r="AK39" s="147">
        <f t="shared" si="16"/>
        <v>0</v>
      </c>
      <c r="AL39" s="147">
        <f t="shared" si="17"/>
        <v>0</v>
      </c>
      <c r="AM39" s="147">
        <f t="shared" si="18"/>
        <v>0</v>
      </c>
      <c r="AN39" s="147">
        <f t="shared" si="19"/>
        <v>0</v>
      </c>
      <c r="AO39" s="148">
        <f t="shared" si="20"/>
        <v>0</v>
      </c>
      <c r="AS39" s="3" t="s">
        <v>44</v>
      </c>
    </row>
    <row r="40" spans="1:45" ht="15" customHeight="1" x14ac:dyDescent="0.2">
      <c r="A40" s="35" t="s">
        <v>32</v>
      </c>
      <c r="B40" s="36"/>
      <c r="C40" s="65"/>
      <c r="D40" s="66"/>
      <c r="E40" s="66"/>
      <c r="F40" s="66"/>
      <c r="G40" s="66"/>
      <c r="H40" s="66"/>
      <c r="I40" s="66"/>
      <c r="J40" s="66"/>
      <c r="K40" s="67"/>
      <c r="L40" s="149">
        <f t="shared" si="3"/>
        <v>0</v>
      </c>
      <c r="M40" s="150">
        <f t="shared" si="4"/>
        <v>0</v>
      </c>
      <c r="N40" s="150">
        <f t="shared" si="5"/>
        <v>0</v>
      </c>
      <c r="O40" s="150">
        <f t="shared" si="6"/>
        <v>0</v>
      </c>
      <c r="P40" s="150">
        <f t="shared" si="7"/>
        <v>0</v>
      </c>
      <c r="Q40" s="150">
        <f t="shared" si="8"/>
        <v>0</v>
      </c>
      <c r="R40" s="150">
        <f t="shared" si="9"/>
        <v>0</v>
      </c>
      <c r="S40" s="150">
        <f t="shared" si="10"/>
        <v>0</v>
      </c>
      <c r="T40" s="151">
        <f t="shared" si="11"/>
        <v>0</v>
      </c>
      <c r="V40" s="35" t="s">
        <v>32</v>
      </c>
      <c r="W40" s="36"/>
      <c r="X40" s="65"/>
      <c r="Y40" s="66"/>
      <c r="Z40" s="66"/>
      <c r="AA40" s="66"/>
      <c r="AB40" s="66"/>
      <c r="AC40" s="66"/>
      <c r="AD40" s="66"/>
      <c r="AE40" s="66"/>
      <c r="AF40" s="67"/>
      <c r="AG40" s="146">
        <f t="shared" si="12"/>
        <v>0</v>
      </c>
      <c r="AH40" s="147">
        <f t="shared" si="13"/>
        <v>0</v>
      </c>
      <c r="AI40" s="147">
        <f t="shared" si="14"/>
        <v>0</v>
      </c>
      <c r="AJ40" s="147">
        <f t="shared" si="15"/>
        <v>0</v>
      </c>
      <c r="AK40" s="147">
        <f t="shared" si="16"/>
        <v>0</v>
      </c>
      <c r="AL40" s="147">
        <f t="shared" si="17"/>
        <v>0</v>
      </c>
      <c r="AM40" s="147">
        <f t="shared" si="18"/>
        <v>0</v>
      </c>
      <c r="AN40" s="147">
        <f t="shared" si="19"/>
        <v>0</v>
      </c>
      <c r="AO40" s="148">
        <f t="shared" si="20"/>
        <v>0</v>
      </c>
    </row>
    <row r="41" spans="1:45" ht="15" customHeight="1" thickBot="1" x14ac:dyDescent="0.25">
      <c r="A41" s="178"/>
      <c r="B41" s="179"/>
      <c r="C41" s="60">
        <f t="shared" ref="C41:T41" si="21">SUM(C31:C40)</f>
        <v>213</v>
      </c>
      <c r="D41" s="61">
        <f t="shared" si="21"/>
        <v>0</v>
      </c>
      <c r="E41" s="61">
        <f t="shared" si="21"/>
        <v>254</v>
      </c>
      <c r="F41" s="61">
        <f t="shared" si="21"/>
        <v>3</v>
      </c>
      <c r="G41" s="61">
        <f t="shared" si="21"/>
        <v>29</v>
      </c>
      <c r="H41" s="61">
        <f t="shared" si="21"/>
        <v>0</v>
      </c>
      <c r="I41" s="61">
        <f t="shared" si="21"/>
        <v>0</v>
      </c>
      <c r="J41" s="61">
        <f t="shared" si="21"/>
        <v>0</v>
      </c>
      <c r="K41" s="68">
        <f t="shared" si="21"/>
        <v>0</v>
      </c>
      <c r="L41" s="47">
        <f t="shared" si="21"/>
        <v>1266</v>
      </c>
      <c r="M41" s="48">
        <f t="shared" si="21"/>
        <v>4</v>
      </c>
      <c r="N41" s="48">
        <f t="shared" si="21"/>
        <v>1169</v>
      </c>
      <c r="O41" s="48">
        <f t="shared" si="21"/>
        <v>35</v>
      </c>
      <c r="P41" s="48">
        <f t="shared" si="21"/>
        <v>16</v>
      </c>
      <c r="Q41" s="48">
        <f t="shared" si="21"/>
        <v>0</v>
      </c>
      <c r="R41" s="48">
        <f t="shared" si="21"/>
        <v>0</v>
      </c>
      <c r="S41" s="48">
        <f t="shared" si="21"/>
        <v>0</v>
      </c>
      <c r="T41" s="49">
        <f t="shared" si="21"/>
        <v>0</v>
      </c>
      <c r="U41" s="9"/>
      <c r="V41" s="178" t="s">
        <v>36</v>
      </c>
      <c r="W41" s="179"/>
      <c r="X41" s="60">
        <f t="shared" ref="X41:AO41" si="22">SUM(X31:X40)</f>
        <v>379</v>
      </c>
      <c r="Y41" s="61">
        <f t="shared" si="22"/>
        <v>0</v>
      </c>
      <c r="Z41" s="61">
        <f t="shared" si="22"/>
        <v>261</v>
      </c>
      <c r="AA41" s="61">
        <f t="shared" si="22"/>
        <v>1</v>
      </c>
      <c r="AB41" s="61">
        <f t="shared" si="22"/>
        <v>27</v>
      </c>
      <c r="AC41" s="61">
        <f t="shared" si="22"/>
        <v>0</v>
      </c>
      <c r="AD41" s="61">
        <f t="shared" si="22"/>
        <v>0</v>
      </c>
      <c r="AE41" s="61">
        <f t="shared" si="22"/>
        <v>0</v>
      </c>
      <c r="AF41" s="68">
        <f t="shared" si="22"/>
        <v>1</v>
      </c>
      <c r="AG41" s="47">
        <f t="shared" si="22"/>
        <v>1710</v>
      </c>
      <c r="AH41" s="48">
        <f t="shared" si="22"/>
        <v>2</v>
      </c>
      <c r="AI41" s="48">
        <f t="shared" si="22"/>
        <v>797</v>
      </c>
      <c r="AJ41" s="48">
        <f t="shared" si="22"/>
        <v>5</v>
      </c>
      <c r="AK41" s="48">
        <f t="shared" si="22"/>
        <v>13</v>
      </c>
      <c r="AL41" s="48">
        <f t="shared" si="22"/>
        <v>1</v>
      </c>
      <c r="AM41" s="48">
        <f t="shared" si="22"/>
        <v>2</v>
      </c>
      <c r="AN41" s="48">
        <f t="shared" si="22"/>
        <v>3</v>
      </c>
      <c r="AO41" s="49">
        <f t="shared" si="22"/>
        <v>0</v>
      </c>
    </row>
    <row r="42" spans="1:45" ht="9.9499999999999993" customHeight="1" thickBot="1" x14ac:dyDescent="0.25">
      <c r="A42" s="50"/>
      <c r="AO42" s="51"/>
    </row>
    <row r="43" spans="1:45" ht="15" customHeight="1" x14ac:dyDescent="0.2">
      <c r="A43" s="174" t="s">
        <v>2</v>
      </c>
      <c r="B43" s="175"/>
      <c r="C43" s="171" t="s">
        <v>39</v>
      </c>
      <c r="D43" s="164"/>
      <c r="E43" s="164"/>
      <c r="F43" s="164"/>
      <c r="G43" s="164"/>
      <c r="H43" s="172"/>
      <c r="I43" s="180" t="s">
        <v>45</v>
      </c>
      <c r="J43" s="164"/>
      <c r="K43" s="165"/>
      <c r="L43" s="173" t="s">
        <v>41</v>
      </c>
      <c r="M43" s="164"/>
      <c r="N43" s="164"/>
      <c r="O43" s="164"/>
      <c r="P43" s="164"/>
      <c r="Q43" s="164"/>
      <c r="R43" s="164"/>
      <c r="S43" s="164"/>
      <c r="T43" s="172"/>
      <c r="U43" s="2"/>
      <c r="V43" s="174" t="s">
        <v>2</v>
      </c>
      <c r="W43" s="175"/>
      <c r="X43" s="171" t="s">
        <v>42</v>
      </c>
      <c r="Y43" s="164"/>
      <c r="Z43" s="164"/>
      <c r="AA43" s="164"/>
      <c r="AB43" s="164"/>
      <c r="AC43" s="172"/>
      <c r="AD43" s="180" t="s">
        <v>45</v>
      </c>
      <c r="AE43" s="164"/>
      <c r="AF43" s="165"/>
      <c r="AG43" s="173" t="s">
        <v>43</v>
      </c>
      <c r="AH43" s="164"/>
      <c r="AI43" s="164"/>
      <c r="AJ43" s="164"/>
      <c r="AK43" s="164"/>
      <c r="AL43" s="164"/>
      <c r="AM43" s="164"/>
      <c r="AN43" s="164"/>
      <c r="AO43" s="172"/>
    </row>
    <row r="44" spans="1:45" ht="15" customHeight="1" thickBot="1" x14ac:dyDescent="0.25">
      <c r="A44" s="176"/>
      <c r="B44" s="177"/>
      <c r="C44" s="4" t="s">
        <v>7</v>
      </c>
      <c r="D44" s="5" t="s">
        <v>8</v>
      </c>
      <c r="E44" s="5" t="s">
        <v>9</v>
      </c>
      <c r="F44" s="5" t="s">
        <v>10</v>
      </c>
      <c r="G44" s="5" t="s">
        <v>11</v>
      </c>
      <c r="H44" s="5" t="s">
        <v>12</v>
      </c>
      <c r="I44" s="5" t="s">
        <v>13</v>
      </c>
      <c r="J44" s="5" t="s">
        <v>14</v>
      </c>
      <c r="K44" s="6" t="s">
        <v>15</v>
      </c>
      <c r="L44" s="7" t="s">
        <v>7</v>
      </c>
      <c r="M44" s="5" t="s">
        <v>8</v>
      </c>
      <c r="N44" s="5" t="s">
        <v>9</v>
      </c>
      <c r="O44" s="5" t="s">
        <v>10</v>
      </c>
      <c r="P44" s="5" t="s">
        <v>11</v>
      </c>
      <c r="Q44" s="5" t="s">
        <v>12</v>
      </c>
      <c r="R44" s="5" t="s">
        <v>13</v>
      </c>
      <c r="S44" s="5" t="s">
        <v>14</v>
      </c>
      <c r="T44" s="8" t="s">
        <v>15</v>
      </c>
      <c r="U44" s="9"/>
      <c r="V44" s="176"/>
      <c r="W44" s="177"/>
      <c r="X44" s="4" t="s">
        <v>7</v>
      </c>
      <c r="Y44" s="5" t="s">
        <v>8</v>
      </c>
      <c r="Z44" s="5" t="s">
        <v>9</v>
      </c>
      <c r="AA44" s="5" t="s">
        <v>10</v>
      </c>
      <c r="AB44" s="5" t="s">
        <v>11</v>
      </c>
      <c r="AC44" s="5" t="s">
        <v>12</v>
      </c>
      <c r="AD44" s="5" t="s">
        <v>13</v>
      </c>
      <c r="AE44" s="5" t="s">
        <v>14</v>
      </c>
      <c r="AF44" s="6" t="s">
        <v>15</v>
      </c>
      <c r="AG44" s="7" t="s">
        <v>7</v>
      </c>
      <c r="AH44" s="5" t="s">
        <v>8</v>
      </c>
      <c r="AI44" s="5" t="s">
        <v>9</v>
      </c>
      <c r="AJ44" s="5" t="s">
        <v>10</v>
      </c>
      <c r="AK44" s="5" t="s">
        <v>11</v>
      </c>
      <c r="AL44" s="5" t="s">
        <v>12</v>
      </c>
      <c r="AM44" s="5" t="s">
        <v>13</v>
      </c>
      <c r="AN44" s="5" t="s">
        <v>14</v>
      </c>
      <c r="AO44" s="8" t="s">
        <v>15</v>
      </c>
    </row>
    <row r="45" spans="1:45" ht="15" customHeight="1" x14ac:dyDescent="0.2">
      <c r="A45" s="62" t="s">
        <v>16</v>
      </c>
      <c r="B45" s="63" t="s">
        <v>17</v>
      </c>
      <c r="C45" s="110">
        <v>8</v>
      </c>
      <c r="D45" s="111"/>
      <c r="E45" s="111">
        <v>20</v>
      </c>
      <c r="F45" s="111"/>
      <c r="G45" s="111"/>
      <c r="H45" s="111"/>
      <c r="I45" s="111"/>
      <c r="J45" s="111"/>
      <c r="K45" s="112"/>
      <c r="L45" s="152">
        <f t="shared" ref="L45:L54" si="23">SUM(L31-C45)</f>
        <v>-2</v>
      </c>
      <c r="M45" s="130">
        <f t="shared" ref="M45:M54" si="24">SUM(M31-D45)</f>
        <v>0</v>
      </c>
      <c r="N45" s="153">
        <f t="shared" ref="N45:N54" si="25">SUM(N31-E45)</f>
        <v>-12</v>
      </c>
      <c r="O45" s="130">
        <f t="shared" ref="O45:O54" si="26">SUM(O31-F45)</f>
        <v>0</v>
      </c>
      <c r="P45" s="130">
        <f t="shared" ref="P45:P54" si="27">SUM(P31-G45)</f>
        <v>0</v>
      </c>
      <c r="Q45" s="130">
        <f t="shared" ref="Q45:Q54" si="28">SUM(Q31-H45)</f>
        <v>0</v>
      </c>
      <c r="R45" s="130">
        <f t="shared" ref="R45:R54" si="29">SUM(R31-I45)</f>
        <v>0</v>
      </c>
      <c r="S45" s="130">
        <f t="shared" ref="S45:S54" si="30">SUM(S31-J45)</f>
        <v>0</v>
      </c>
      <c r="T45" s="131">
        <f t="shared" ref="T45:T54" si="31">SUM(T31-K45)</f>
        <v>0</v>
      </c>
      <c r="V45" s="13" t="s">
        <v>18</v>
      </c>
      <c r="W45" s="14" t="s">
        <v>17</v>
      </c>
      <c r="X45" s="132"/>
      <c r="Y45" s="133"/>
      <c r="Z45" s="133"/>
      <c r="AA45" s="133"/>
      <c r="AB45" s="133"/>
      <c r="AC45" s="133"/>
      <c r="AD45" s="133"/>
      <c r="AE45" s="133"/>
      <c r="AF45" s="134"/>
      <c r="AG45" s="129">
        <f t="shared" ref="AG45:AG54" si="32">SUM(AG31-X45)</f>
        <v>8</v>
      </c>
      <c r="AH45" s="130">
        <f t="shared" ref="AH45:AH54" si="33">SUM(AH31-Y45)</f>
        <v>0</v>
      </c>
      <c r="AI45" s="130">
        <f t="shared" ref="AI45:AI54" si="34">SUM(AI31-Z45)</f>
        <v>48</v>
      </c>
      <c r="AJ45" s="130">
        <f t="shared" ref="AJ45:AJ54" si="35">SUM(AJ31-AA45)</f>
        <v>0</v>
      </c>
      <c r="AK45" s="130">
        <f t="shared" ref="AK45:AK54" si="36">SUM(AK31-AB45)</f>
        <v>0</v>
      </c>
      <c r="AL45" s="130">
        <f t="shared" ref="AL45:AL54" si="37">SUM(AL31-AC45)</f>
        <v>0</v>
      </c>
      <c r="AM45" s="130">
        <f t="shared" ref="AM45:AM54" si="38">SUM(AM31-AD45)</f>
        <v>0</v>
      </c>
      <c r="AN45" s="130">
        <f t="shared" ref="AN45:AN54" si="39">SUM(AN31-AE45)</f>
        <v>0</v>
      </c>
      <c r="AO45" s="131">
        <f t="shared" ref="AO45:AO54" si="40">SUM(AO31-AF45)</f>
        <v>0</v>
      </c>
    </row>
    <row r="46" spans="1:45" ht="15" customHeight="1" x14ac:dyDescent="0.2">
      <c r="A46" s="33" t="s">
        <v>19</v>
      </c>
      <c r="B46" s="34" t="s">
        <v>17</v>
      </c>
      <c r="C46" s="118">
        <v>2</v>
      </c>
      <c r="D46" s="119"/>
      <c r="E46" s="119">
        <v>3</v>
      </c>
      <c r="F46" s="119"/>
      <c r="G46" s="119"/>
      <c r="H46" s="119"/>
      <c r="I46" s="119"/>
      <c r="J46" s="119"/>
      <c r="K46" s="120"/>
      <c r="L46" s="135">
        <f t="shared" si="23"/>
        <v>24</v>
      </c>
      <c r="M46" s="136">
        <f t="shared" si="24"/>
        <v>0</v>
      </c>
      <c r="N46" s="136">
        <f t="shared" si="25"/>
        <v>5</v>
      </c>
      <c r="O46" s="136">
        <f t="shared" si="26"/>
        <v>5</v>
      </c>
      <c r="P46" s="136">
        <f t="shared" si="27"/>
        <v>0</v>
      </c>
      <c r="Q46" s="136">
        <f t="shared" si="28"/>
        <v>0</v>
      </c>
      <c r="R46" s="136">
        <f t="shared" si="29"/>
        <v>0</v>
      </c>
      <c r="S46" s="136">
        <f t="shared" si="30"/>
        <v>0</v>
      </c>
      <c r="T46" s="137">
        <f t="shared" si="31"/>
        <v>0</v>
      </c>
      <c r="V46" s="16" t="s">
        <v>20</v>
      </c>
      <c r="W46" s="17" t="s">
        <v>17</v>
      </c>
      <c r="X46" s="138"/>
      <c r="Y46" s="139"/>
      <c r="Z46" s="139"/>
      <c r="AA46" s="139"/>
      <c r="AB46" s="139"/>
      <c r="AC46" s="139"/>
      <c r="AD46" s="139"/>
      <c r="AE46" s="139"/>
      <c r="AF46" s="140"/>
      <c r="AG46" s="135">
        <f t="shared" si="32"/>
        <v>1</v>
      </c>
      <c r="AH46" s="136">
        <f t="shared" si="33"/>
        <v>0</v>
      </c>
      <c r="AI46" s="136">
        <f t="shared" si="34"/>
        <v>0</v>
      </c>
      <c r="AJ46" s="136">
        <f t="shared" si="35"/>
        <v>0</v>
      </c>
      <c r="AK46" s="136">
        <f t="shared" si="36"/>
        <v>0</v>
      </c>
      <c r="AL46" s="136">
        <f t="shared" si="37"/>
        <v>1</v>
      </c>
      <c r="AM46" s="136">
        <f t="shared" si="38"/>
        <v>0</v>
      </c>
      <c r="AN46" s="136">
        <f t="shared" si="39"/>
        <v>0</v>
      </c>
      <c r="AO46" s="137">
        <f t="shared" si="40"/>
        <v>0</v>
      </c>
    </row>
    <row r="47" spans="1:45" ht="15" customHeight="1" x14ac:dyDescent="0.2">
      <c r="A47" s="16" t="s">
        <v>21</v>
      </c>
      <c r="B47" s="34" t="s">
        <v>22</v>
      </c>
      <c r="C47" s="118">
        <v>1</v>
      </c>
      <c r="D47" s="119"/>
      <c r="E47" s="119"/>
      <c r="F47" s="119"/>
      <c r="G47" s="119"/>
      <c r="H47" s="119"/>
      <c r="I47" s="119"/>
      <c r="J47" s="119"/>
      <c r="K47" s="120"/>
      <c r="L47" s="154">
        <f t="shared" si="23"/>
        <v>-1</v>
      </c>
      <c r="M47" s="136">
        <f t="shared" si="24"/>
        <v>0</v>
      </c>
      <c r="N47" s="136">
        <f t="shared" si="25"/>
        <v>14</v>
      </c>
      <c r="O47" s="136">
        <f t="shared" si="26"/>
        <v>0</v>
      </c>
      <c r="P47" s="136">
        <f t="shared" si="27"/>
        <v>0</v>
      </c>
      <c r="Q47" s="136">
        <f t="shared" si="28"/>
        <v>0</v>
      </c>
      <c r="R47" s="136">
        <f t="shared" si="29"/>
        <v>0</v>
      </c>
      <c r="S47" s="136">
        <f t="shared" si="30"/>
        <v>0</v>
      </c>
      <c r="T47" s="137">
        <f t="shared" si="31"/>
        <v>0</v>
      </c>
      <c r="V47" s="16" t="s">
        <v>23</v>
      </c>
      <c r="W47" s="17" t="s">
        <v>17</v>
      </c>
      <c r="X47" s="138"/>
      <c r="Y47" s="139"/>
      <c r="Z47" s="139"/>
      <c r="AA47" s="139"/>
      <c r="AB47" s="139"/>
      <c r="AC47" s="139"/>
      <c r="AD47" s="139"/>
      <c r="AE47" s="139"/>
      <c r="AF47" s="140"/>
      <c r="AG47" s="135">
        <f t="shared" si="32"/>
        <v>0</v>
      </c>
      <c r="AH47" s="136">
        <f t="shared" si="33"/>
        <v>0</v>
      </c>
      <c r="AI47" s="136">
        <f t="shared" si="34"/>
        <v>0</v>
      </c>
      <c r="AJ47" s="136">
        <f t="shared" si="35"/>
        <v>0</v>
      </c>
      <c r="AK47" s="136">
        <f t="shared" si="36"/>
        <v>0</v>
      </c>
      <c r="AL47" s="136">
        <f t="shared" si="37"/>
        <v>0</v>
      </c>
      <c r="AM47" s="136">
        <f t="shared" si="38"/>
        <v>0</v>
      </c>
      <c r="AN47" s="136">
        <f t="shared" si="39"/>
        <v>0</v>
      </c>
      <c r="AO47" s="137">
        <f t="shared" si="40"/>
        <v>0</v>
      </c>
    </row>
    <row r="48" spans="1:45" ht="15" customHeight="1" x14ac:dyDescent="0.2">
      <c r="A48" s="108" t="s">
        <v>24</v>
      </c>
      <c r="B48" s="109" t="s">
        <v>22</v>
      </c>
      <c r="C48" s="138"/>
      <c r="D48" s="139"/>
      <c r="E48" s="139"/>
      <c r="F48" s="139"/>
      <c r="G48" s="139"/>
      <c r="H48" s="139"/>
      <c r="I48" s="139"/>
      <c r="J48" s="139"/>
      <c r="K48" s="140"/>
      <c r="L48" s="135">
        <f t="shared" si="23"/>
        <v>0</v>
      </c>
      <c r="M48" s="136">
        <f t="shared" si="24"/>
        <v>0</v>
      </c>
      <c r="N48" s="136">
        <f t="shared" si="25"/>
        <v>0</v>
      </c>
      <c r="O48" s="136">
        <f t="shared" si="26"/>
        <v>0</v>
      </c>
      <c r="P48" s="136">
        <f t="shared" si="27"/>
        <v>0</v>
      </c>
      <c r="Q48" s="136">
        <f t="shared" si="28"/>
        <v>0</v>
      </c>
      <c r="R48" s="136">
        <f t="shared" si="29"/>
        <v>0</v>
      </c>
      <c r="S48" s="136">
        <f t="shared" si="30"/>
        <v>0</v>
      </c>
      <c r="T48" s="137">
        <f t="shared" si="31"/>
        <v>0</v>
      </c>
      <c r="V48" s="16" t="s">
        <v>25</v>
      </c>
      <c r="W48" s="17" t="s">
        <v>17</v>
      </c>
      <c r="X48" s="138"/>
      <c r="Y48" s="139"/>
      <c r="Z48" s="139"/>
      <c r="AA48" s="139"/>
      <c r="AB48" s="139"/>
      <c r="AC48" s="139"/>
      <c r="AD48" s="139"/>
      <c r="AE48" s="139"/>
      <c r="AF48" s="140"/>
      <c r="AG48" s="135">
        <f t="shared" si="32"/>
        <v>60</v>
      </c>
      <c r="AH48" s="136">
        <f t="shared" si="33"/>
        <v>0</v>
      </c>
      <c r="AI48" s="136">
        <f t="shared" si="34"/>
        <v>34</v>
      </c>
      <c r="AJ48" s="136">
        <f t="shared" si="35"/>
        <v>0</v>
      </c>
      <c r="AK48" s="136">
        <f t="shared" si="36"/>
        <v>0</v>
      </c>
      <c r="AL48" s="136">
        <f t="shared" si="37"/>
        <v>0</v>
      </c>
      <c r="AM48" s="136">
        <f t="shared" si="38"/>
        <v>0</v>
      </c>
      <c r="AN48" s="136">
        <f t="shared" si="39"/>
        <v>0</v>
      </c>
      <c r="AO48" s="137">
        <f t="shared" si="40"/>
        <v>0</v>
      </c>
    </row>
    <row r="49" spans="1:41" ht="15" customHeight="1" x14ac:dyDescent="0.2">
      <c r="A49" s="33" t="s">
        <v>26</v>
      </c>
      <c r="B49" s="34" t="s">
        <v>27</v>
      </c>
      <c r="C49" s="141">
        <v>67</v>
      </c>
      <c r="D49" s="127"/>
      <c r="E49" s="127">
        <v>49</v>
      </c>
      <c r="F49" s="127"/>
      <c r="G49" s="127"/>
      <c r="H49" s="127"/>
      <c r="I49" s="127"/>
      <c r="J49" s="127"/>
      <c r="K49" s="142"/>
      <c r="L49" s="143">
        <f t="shared" si="23"/>
        <v>486</v>
      </c>
      <c r="M49" s="144">
        <f t="shared" si="24"/>
        <v>0</v>
      </c>
      <c r="N49" s="144">
        <f t="shared" si="25"/>
        <v>688</v>
      </c>
      <c r="O49" s="144">
        <f t="shared" si="26"/>
        <v>0</v>
      </c>
      <c r="P49" s="144">
        <f t="shared" si="27"/>
        <v>0</v>
      </c>
      <c r="Q49" s="144">
        <f t="shared" si="28"/>
        <v>0</v>
      </c>
      <c r="R49" s="144">
        <f t="shared" si="29"/>
        <v>0</v>
      </c>
      <c r="S49" s="144">
        <f t="shared" si="30"/>
        <v>0</v>
      </c>
      <c r="T49" s="145">
        <f t="shared" si="31"/>
        <v>0</v>
      </c>
      <c r="V49" s="25" t="s">
        <v>28</v>
      </c>
      <c r="W49" s="26" t="s">
        <v>27</v>
      </c>
      <c r="X49" s="141">
        <v>45</v>
      </c>
      <c r="Y49" s="127"/>
      <c r="Z49" s="127">
        <v>35</v>
      </c>
      <c r="AA49" s="127"/>
      <c r="AB49" s="127">
        <v>15</v>
      </c>
      <c r="AC49" s="127"/>
      <c r="AD49" s="127"/>
      <c r="AE49" s="127"/>
      <c r="AF49" s="142"/>
      <c r="AG49" s="143">
        <f t="shared" si="32"/>
        <v>721</v>
      </c>
      <c r="AH49" s="144">
        <f t="shared" si="33"/>
        <v>0</v>
      </c>
      <c r="AI49" s="144">
        <f t="shared" si="34"/>
        <v>145</v>
      </c>
      <c r="AJ49" s="144">
        <f t="shared" si="35"/>
        <v>5</v>
      </c>
      <c r="AK49" s="155">
        <f t="shared" si="36"/>
        <v>-2</v>
      </c>
      <c r="AL49" s="144">
        <f t="shared" si="37"/>
        <v>0</v>
      </c>
      <c r="AM49" s="144">
        <f t="shared" si="38"/>
        <v>0</v>
      </c>
      <c r="AN49" s="144">
        <f t="shared" si="39"/>
        <v>0</v>
      </c>
      <c r="AO49" s="145">
        <f t="shared" si="40"/>
        <v>0</v>
      </c>
    </row>
    <row r="50" spans="1:41" ht="15" customHeight="1" x14ac:dyDescent="0.2">
      <c r="A50" s="33" t="s">
        <v>29</v>
      </c>
      <c r="B50" s="34" t="s">
        <v>27</v>
      </c>
      <c r="C50" s="141">
        <v>146</v>
      </c>
      <c r="D50" s="127"/>
      <c r="E50" s="127">
        <v>127</v>
      </c>
      <c r="F50" s="127">
        <v>2</v>
      </c>
      <c r="G50" s="127">
        <v>16</v>
      </c>
      <c r="H50" s="127"/>
      <c r="I50" s="127"/>
      <c r="J50" s="127"/>
      <c r="K50" s="142"/>
      <c r="L50" s="143">
        <f t="shared" si="23"/>
        <v>535</v>
      </c>
      <c r="M50" s="144">
        <f t="shared" si="24"/>
        <v>4</v>
      </c>
      <c r="N50" s="144">
        <f t="shared" si="25"/>
        <v>275</v>
      </c>
      <c r="O50" s="144">
        <f t="shared" si="26"/>
        <v>28</v>
      </c>
      <c r="P50" s="144">
        <f t="shared" si="27"/>
        <v>0</v>
      </c>
      <c r="Q50" s="144">
        <f t="shared" si="28"/>
        <v>0</v>
      </c>
      <c r="R50" s="144">
        <f t="shared" si="29"/>
        <v>0</v>
      </c>
      <c r="S50" s="144">
        <f t="shared" si="30"/>
        <v>0</v>
      </c>
      <c r="T50" s="145">
        <f t="shared" si="31"/>
        <v>0</v>
      </c>
      <c r="V50" s="25" t="s">
        <v>30</v>
      </c>
      <c r="W50" s="26" t="s">
        <v>27</v>
      </c>
      <c r="X50" s="141">
        <v>3</v>
      </c>
      <c r="Y50" s="127"/>
      <c r="Z50" s="127"/>
      <c r="AA50" s="127"/>
      <c r="AB50" s="127"/>
      <c r="AC50" s="127"/>
      <c r="AD50" s="127"/>
      <c r="AE50" s="127"/>
      <c r="AF50" s="142"/>
      <c r="AG50" s="143">
        <f t="shared" si="32"/>
        <v>17</v>
      </c>
      <c r="AH50" s="144">
        <f t="shared" si="33"/>
        <v>0</v>
      </c>
      <c r="AI50" s="144">
        <f t="shared" si="34"/>
        <v>13</v>
      </c>
      <c r="AJ50" s="144">
        <f t="shared" si="35"/>
        <v>0</v>
      </c>
      <c r="AK50" s="144">
        <f t="shared" si="36"/>
        <v>0</v>
      </c>
      <c r="AL50" s="144">
        <f t="shared" si="37"/>
        <v>0</v>
      </c>
      <c r="AM50" s="144">
        <f t="shared" si="38"/>
        <v>0</v>
      </c>
      <c r="AN50" s="144">
        <f t="shared" si="39"/>
        <v>0</v>
      </c>
      <c r="AO50" s="145">
        <f t="shared" si="40"/>
        <v>0</v>
      </c>
    </row>
    <row r="51" spans="1:41" ht="15" customHeight="1" x14ac:dyDescent="0.2">
      <c r="A51" s="33"/>
      <c r="B51" s="34"/>
      <c r="C51" s="31"/>
      <c r="D51" s="21"/>
      <c r="E51" s="21"/>
      <c r="F51" s="21"/>
      <c r="G51" s="21"/>
      <c r="H51" s="21"/>
      <c r="I51" s="21"/>
      <c r="J51" s="21"/>
      <c r="K51" s="32"/>
      <c r="L51" s="146">
        <f t="shared" si="23"/>
        <v>0</v>
      </c>
      <c r="M51" s="147">
        <f t="shared" si="24"/>
        <v>0</v>
      </c>
      <c r="N51" s="147">
        <f t="shared" si="25"/>
        <v>0</v>
      </c>
      <c r="O51" s="147">
        <f t="shared" si="26"/>
        <v>0</v>
      </c>
      <c r="P51" s="147">
        <f t="shared" si="27"/>
        <v>0</v>
      </c>
      <c r="Q51" s="147">
        <f t="shared" si="28"/>
        <v>0</v>
      </c>
      <c r="R51" s="147">
        <f t="shared" si="29"/>
        <v>0</v>
      </c>
      <c r="S51" s="147">
        <f t="shared" si="30"/>
        <v>0</v>
      </c>
      <c r="T51" s="148">
        <f t="shared" si="31"/>
        <v>0</v>
      </c>
      <c r="V51" s="25" t="s">
        <v>31</v>
      </c>
      <c r="W51" s="26" t="s">
        <v>27</v>
      </c>
      <c r="X51" s="141">
        <v>149</v>
      </c>
      <c r="Y51" s="127"/>
      <c r="Z51" s="127">
        <v>145</v>
      </c>
      <c r="AA51" s="127"/>
      <c r="AB51" s="127"/>
      <c r="AC51" s="127"/>
      <c r="AD51" s="127"/>
      <c r="AE51" s="127">
        <v>1</v>
      </c>
      <c r="AF51" s="142"/>
      <c r="AG51" s="143">
        <f t="shared" si="32"/>
        <v>706</v>
      </c>
      <c r="AH51" s="144">
        <f t="shared" si="33"/>
        <v>2</v>
      </c>
      <c r="AI51" s="144">
        <f t="shared" si="34"/>
        <v>377</v>
      </c>
      <c r="AJ51" s="144">
        <f t="shared" si="35"/>
        <v>0</v>
      </c>
      <c r="AK51" s="144">
        <f t="shared" si="36"/>
        <v>0</v>
      </c>
      <c r="AL51" s="144">
        <f t="shared" si="37"/>
        <v>0</v>
      </c>
      <c r="AM51" s="144">
        <f t="shared" si="38"/>
        <v>2</v>
      </c>
      <c r="AN51" s="144">
        <f t="shared" si="39"/>
        <v>2</v>
      </c>
      <c r="AO51" s="145">
        <f t="shared" si="40"/>
        <v>0</v>
      </c>
    </row>
    <row r="52" spans="1:41" ht="15" customHeight="1" x14ac:dyDescent="0.2">
      <c r="A52" s="33"/>
      <c r="B52" s="34"/>
      <c r="C52" s="31"/>
      <c r="D52" s="21"/>
      <c r="E52" s="21"/>
      <c r="F52" s="21"/>
      <c r="G52" s="21"/>
      <c r="H52" s="21"/>
      <c r="I52" s="21"/>
      <c r="J52" s="21"/>
      <c r="K52" s="32"/>
      <c r="L52" s="146">
        <f t="shared" si="23"/>
        <v>0</v>
      </c>
      <c r="M52" s="147">
        <f t="shared" si="24"/>
        <v>0</v>
      </c>
      <c r="N52" s="147">
        <f t="shared" si="25"/>
        <v>0</v>
      </c>
      <c r="O52" s="147">
        <f t="shared" si="26"/>
        <v>0</v>
      </c>
      <c r="P52" s="147">
        <f t="shared" si="27"/>
        <v>0</v>
      </c>
      <c r="Q52" s="147">
        <f t="shared" si="28"/>
        <v>0</v>
      </c>
      <c r="R52" s="147">
        <f t="shared" si="29"/>
        <v>0</v>
      </c>
      <c r="S52" s="147">
        <f t="shared" si="30"/>
        <v>0</v>
      </c>
      <c r="T52" s="148">
        <f t="shared" si="31"/>
        <v>0</v>
      </c>
      <c r="V52" s="25"/>
      <c r="W52" s="26"/>
      <c r="X52" s="38"/>
      <c r="Y52" s="39"/>
      <c r="Z52" s="39"/>
      <c r="AA52" s="39"/>
      <c r="AB52" s="39"/>
      <c r="AC52" s="39"/>
      <c r="AD52" s="39"/>
      <c r="AE52" s="39"/>
      <c r="AF52" s="64"/>
      <c r="AG52" s="146">
        <f t="shared" si="32"/>
        <v>0</v>
      </c>
      <c r="AH52" s="147">
        <f t="shared" si="33"/>
        <v>0</v>
      </c>
      <c r="AI52" s="147">
        <f t="shared" si="34"/>
        <v>0</v>
      </c>
      <c r="AJ52" s="147">
        <f t="shared" si="35"/>
        <v>0</v>
      </c>
      <c r="AK52" s="147">
        <f t="shared" si="36"/>
        <v>0</v>
      </c>
      <c r="AL52" s="147">
        <f t="shared" si="37"/>
        <v>0</v>
      </c>
      <c r="AM52" s="147">
        <f t="shared" si="38"/>
        <v>0</v>
      </c>
      <c r="AN52" s="147">
        <f t="shared" si="39"/>
        <v>0</v>
      </c>
      <c r="AO52" s="148">
        <f t="shared" si="40"/>
        <v>0</v>
      </c>
    </row>
    <row r="53" spans="1:41" ht="15" customHeight="1" x14ac:dyDescent="0.2">
      <c r="A53" s="33"/>
      <c r="B53" s="34"/>
      <c r="C53" s="31"/>
      <c r="D53" s="21"/>
      <c r="E53" s="21"/>
      <c r="F53" s="21"/>
      <c r="G53" s="21"/>
      <c r="H53" s="21"/>
      <c r="I53" s="21"/>
      <c r="J53" s="21"/>
      <c r="K53" s="32"/>
      <c r="L53" s="146">
        <f t="shared" si="23"/>
        <v>0</v>
      </c>
      <c r="M53" s="147">
        <f t="shared" si="24"/>
        <v>0</v>
      </c>
      <c r="N53" s="147">
        <f t="shared" si="25"/>
        <v>0</v>
      </c>
      <c r="O53" s="147">
        <f t="shared" si="26"/>
        <v>0</v>
      </c>
      <c r="P53" s="147">
        <f t="shared" si="27"/>
        <v>0</v>
      </c>
      <c r="Q53" s="147">
        <f t="shared" si="28"/>
        <v>0</v>
      </c>
      <c r="R53" s="147">
        <f t="shared" si="29"/>
        <v>0</v>
      </c>
      <c r="S53" s="147">
        <f t="shared" si="30"/>
        <v>0</v>
      </c>
      <c r="T53" s="148">
        <f t="shared" si="31"/>
        <v>0</v>
      </c>
      <c r="V53" s="25"/>
      <c r="W53" s="26"/>
      <c r="X53" s="38"/>
      <c r="Y53" s="39"/>
      <c r="Z53" s="39"/>
      <c r="AA53" s="39"/>
      <c r="AB53" s="39"/>
      <c r="AC53" s="39"/>
      <c r="AD53" s="39"/>
      <c r="AE53" s="39"/>
      <c r="AF53" s="64"/>
      <c r="AG53" s="146">
        <f t="shared" si="32"/>
        <v>0</v>
      </c>
      <c r="AH53" s="147">
        <f t="shared" si="33"/>
        <v>0</v>
      </c>
      <c r="AI53" s="147">
        <f t="shared" si="34"/>
        <v>0</v>
      </c>
      <c r="AJ53" s="147">
        <f t="shared" si="35"/>
        <v>0</v>
      </c>
      <c r="AK53" s="147">
        <f t="shared" si="36"/>
        <v>0</v>
      </c>
      <c r="AL53" s="147">
        <f t="shared" si="37"/>
        <v>0</v>
      </c>
      <c r="AM53" s="147">
        <f t="shared" si="38"/>
        <v>0</v>
      </c>
      <c r="AN53" s="147">
        <f t="shared" si="39"/>
        <v>0</v>
      </c>
      <c r="AO53" s="148">
        <f t="shared" si="40"/>
        <v>0</v>
      </c>
    </row>
    <row r="54" spans="1:41" ht="15" customHeight="1" x14ac:dyDescent="0.2">
      <c r="A54" s="35" t="s">
        <v>32</v>
      </c>
      <c r="B54" s="36"/>
      <c r="C54" s="65"/>
      <c r="D54" s="66"/>
      <c r="E54" s="66"/>
      <c r="F54" s="66"/>
      <c r="G54" s="66"/>
      <c r="H54" s="66"/>
      <c r="I54" s="66"/>
      <c r="J54" s="66"/>
      <c r="K54" s="67"/>
      <c r="L54" s="149">
        <f t="shared" si="23"/>
        <v>0</v>
      </c>
      <c r="M54" s="150">
        <f t="shared" si="24"/>
        <v>0</v>
      </c>
      <c r="N54" s="150">
        <f t="shared" si="25"/>
        <v>0</v>
      </c>
      <c r="O54" s="150">
        <f t="shared" si="26"/>
        <v>0</v>
      </c>
      <c r="P54" s="150">
        <f t="shared" si="27"/>
        <v>0</v>
      </c>
      <c r="Q54" s="150">
        <f t="shared" si="28"/>
        <v>0</v>
      </c>
      <c r="R54" s="150">
        <f t="shared" si="29"/>
        <v>0</v>
      </c>
      <c r="S54" s="150">
        <f t="shared" si="30"/>
        <v>0</v>
      </c>
      <c r="T54" s="151">
        <f t="shared" si="31"/>
        <v>0</v>
      </c>
      <c r="U54" s="69"/>
      <c r="V54" s="35" t="s">
        <v>32</v>
      </c>
      <c r="W54" s="36"/>
      <c r="X54" s="65"/>
      <c r="Y54" s="66"/>
      <c r="Z54" s="66"/>
      <c r="AA54" s="66"/>
      <c r="AB54" s="66"/>
      <c r="AC54" s="66"/>
      <c r="AD54" s="66"/>
      <c r="AE54" s="66"/>
      <c r="AF54" s="67"/>
      <c r="AG54" s="146">
        <f t="shared" si="32"/>
        <v>0</v>
      </c>
      <c r="AH54" s="147">
        <f t="shared" si="33"/>
        <v>0</v>
      </c>
      <c r="AI54" s="147">
        <f t="shared" si="34"/>
        <v>0</v>
      </c>
      <c r="AJ54" s="147">
        <f t="shared" si="35"/>
        <v>0</v>
      </c>
      <c r="AK54" s="147">
        <f t="shared" si="36"/>
        <v>0</v>
      </c>
      <c r="AL54" s="147">
        <f t="shared" si="37"/>
        <v>0</v>
      </c>
      <c r="AM54" s="147">
        <f t="shared" si="38"/>
        <v>0</v>
      </c>
      <c r="AN54" s="147">
        <f t="shared" si="39"/>
        <v>0</v>
      </c>
      <c r="AO54" s="148">
        <f t="shared" si="40"/>
        <v>0</v>
      </c>
    </row>
    <row r="55" spans="1:41" ht="15" customHeight="1" thickBot="1" x14ac:dyDescent="0.25">
      <c r="A55" s="178" t="s">
        <v>35</v>
      </c>
      <c r="B55" s="179"/>
      <c r="C55" s="60">
        <f t="shared" ref="C55:T55" si="41">SUM(C45:C54)</f>
        <v>224</v>
      </c>
      <c r="D55" s="61">
        <f t="shared" si="41"/>
        <v>0</v>
      </c>
      <c r="E55" s="61">
        <f t="shared" si="41"/>
        <v>199</v>
      </c>
      <c r="F55" s="61">
        <f t="shared" si="41"/>
        <v>2</v>
      </c>
      <c r="G55" s="61">
        <f t="shared" si="41"/>
        <v>16</v>
      </c>
      <c r="H55" s="61">
        <f t="shared" si="41"/>
        <v>0</v>
      </c>
      <c r="I55" s="61">
        <f t="shared" si="41"/>
        <v>0</v>
      </c>
      <c r="J55" s="61">
        <f t="shared" si="41"/>
        <v>0</v>
      </c>
      <c r="K55" s="68">
        <f t="shared" si="41"/>
        <v>0</v>
      </c>
      <c r="L55" s="47">
        <f t="shared" si="41"/>
        <v>1042</v>
      </c>
      <c r="M55" s="48">
        <f t="shared" si="41"/>
        <v>4</v>
      </c>
      <c r="N55" s="48">
        <f t="shared" si="41"/>
        <v>970</v>
      </c>
      <c r="O55" s="48">
        <f t="shared" si="41"/>
        <v>33</v>
      </c>
      <c r="P55" s="48">
        <f t="shared" si="41"/>
        <v>0</v>
      </c>
      <c r="Q55" s="48">
        <f t="shared" si="41"/>
        <v>0</v>
      </c>
      <c r="R55" s="48">
        <f t="shared" si="41"/>
        <v>0</v>
      </c>
      <c r="S55" s="48">
        <f t="shared" si="41"/>
        <v>0</v>
      </c>
      <c r="T55" s="49">
        <f t="shared" si="41"/>
        <v>0</v>
      </c>
      <c r="U55" s="9"/>
      <c r="V55" s="178" t="s">
        <v>36</v>
      </c>
      <c r="W55" s="179"/>
      <c r="X55" s="60">
        <f t="shared" ref="X55:AO55" si="42">SUM(X45:X54)</f>
        <v>197</v>
      </c>
      <c r="Y55" s="61">
        <f t="shared" si="42"/>
        <v>0</v>
      </c>
      <c r="Z55" s="61">
        <f t="shared" si="42"/>
        <v>180</v>
      </c>
      <c r="AA55" s="61">
        <f t="shared" si="42"/>
        <v>0</v>
      </c>
      <c r="AB55" s="61">
        <f t="shared" si="42"/>
        <v>15</v>
      </c>
      <c r="AC55" s="61">
        <f t="shared" si="42"/>
        <v>0</v>
      </c>
      <c r="AD55" s="61">
        <f t="shared" si="42"/>
        <v>0</v>
      </c>
      <c r="AE55" s="61">
        <f t="shared" si="42"/>
        <v>1</v>
      </c>
      <c r="AF55" s="68">
        <f t="shared" si="42"/>
        <v>0</v>
      </c>
      <c r="AG55" s="47">
        <f t="shared" si="42"/>
        <v>1513</v>
      </c>
      <c r="AH55" s="48">
        <f t="shared" si="42"/>
        <v>2</v>
      </c>
      <c r="AI55" s="48">
        <f t="shared" si="42"/>
        <v>617</v>
      </c>
      <c r="AJ55" s="48">
        <f t="shared" si="42"/>
        <v>5</v>
      </c>
      <c r="AK55" s="48">
        <f t="shared" si="42"/>
        <v>-2</v>
      </c>
      <c r="AL55" s="48">
        <f t="shared" si="42"/>
        <v>1</v>
      </c>
      <c r="AM55" s="48">
        <f t="shared" si="42"/>
        <v>2</v>
      </c>
      <c r="AN55" s="48">
        <f t="shared" si="42"/>
        <v>2</v>
      </c>
      <c r="AO55" s="49">
        <f t="shared" si="42"/>
        <v>0</v>
      </c>
    </row>
    <row r="57" spans="1:41" ht="16.899999999999999" customHeight="1" x14ac:dyDescent="0.2">
      <c r="A57" s="15"/>
      <c r="B57" s="168"/>
      <c r="C57" s="162"/>
      <c r="D57" s="162"/>
      <c r="E57" s="162"/>
      <c r="F57" s="162"/>
      <c r="G57" s="162"/>
      <c r="H57" s="162"/>
      <c r="I57" s="162"/>
      <c r="J57" s="162"/>
      <c r="K57" s="162"/>
      <c r="L57" s="162"/>
      <c r="M57" s="162"/>
      <c r="N57" s="162"/>
      <c r="O57" s="162"/>
      <c r="P57" s="162"/>
      <c r="Q57" s="162"/>
      <c r="R57" s="162"/>
      <c r="S57" s="162"/>
      <c r="T57" s="162"/>
      <c r="V57" s="69"/>
      <c r="W57" s="168"/>
      <c r="X57" s="162"/>
      <c r="Y57" s="162"/>
      <c r="Z57" s="162"/>
      <c r="AA57" s="162"/>
      <c r="AB57" s="162"/>
      <c r="AC57" s="162"/>
      <c r="AD57" s="162"/>
      <c r="AE57" s="162"/>
      <c r="AF57" s="162"/>
      <c r="AG57" s="162"/>
      <c r="AH57" s="162"/>
      <c r="AI57" s="162"/>
      <c r="AJ57" s="162"/>
      <c r="AK57" s="162"/>
      <c r="AL57" s="162"/>
      <c r="AM57" s="162"/>
      <c r="AN57" s="162"/>
      <c r="AO57" s="162"/>
    </row>
    <row r="58" spans="1:41" ht="16.899999999999999" customHeight="1" x14ac:dyDescent="0.2">
      <c r="B58" s="168"/>
      <c r="C58" s="162"/>
      <c r="D58" s="162"/>
      <c r="E58" s="162"/>
      <c r="F58" s="162"/>
      <c r="G58" s="162"/>
      <c r="H58" s="162"/>
      <c r="I58" s="162"/>
      <c r="J58" s="162"/>
      <c r="K58" s="162"/>
      <c r="L58" s="162"/>
      <c r="M58" s="162"/>
      <c r="N58" s="162"/>
      <c r="O58" s="162"/>
      <c r="P58" s="162"/>
      <c r="Q58" s="162"/>
      <c r="R58" s="162"/>
      <c r="S58" s="162"/>
      <c r="T58" s="162"/>
      <c r="V58" s="69"/>
      <c r="W58" s="168"/>
      <c r="X58" s="162"/>
      <c r="Y58" s="162"/>
      <c r="Z58" s="162"/>
      <c r="AA58" s="162"/>
      <c r="AB58" s="162"/>
      <c r="AC58" s="162"/>
      <c r="AD58" s="162"/>
      <c r="AE58" s="162"/>
      <c r="AF58" s="162"/>
      <c r="AG58" s="162"/>
      <c r="AH58" s="162"/>
      <c r="AI58" s="162"/>
      <c r="AJ58" s="162"/>
      <c r="AK58" s="162"/>
      <c r="AL58" s="162"/>
      <c r="AM58" s="162"/>
      <c r="AN58" s="162"/>
      <c r="AO58" s="162"/>
    </row>
    <row r="59" spans="1:41" ht="16.899999999999999" customHeight="1" x14ac:dyDescent="0.2">
      <c r="B59" s="161"/>
      <c r="C59" s="162"/>
      <c r="D59" s="162"/>
      <c r="E59" s="162"/>
      <c r="F59" s="162"/>
      <c r="G59" s="162"/>
      <c r="H59" s="162"/>
      <c r="I59" s="162"/>
      <c r="J59" s="162"/>
      <c r="K59" s="162"/>
      <c r="L59" s="162"/>
      <c r="M59" s="162"/>
      <c r="N59" s="162"/>
      <c r="O59" s="162"/>
      <c r="P59" s="162"/>
      <c r="Q59" s="162"/>
      <c r="R59" s="162"/>
      <c r="S59" s="162"/>
      <c r="T59" s="162"/>
      <c r="W59" s="161"/>
      <c r="X59" s="162"/>
      <c r="Y59" s="162"/>
      <c r="Z59" s="162"/>
      <c r="AA59" s="162"/>
      <c r="AB59" s="162"/>
      <c r="AC59" s="162"/>
      <c r="AD59" s="162"/>
      <c r="AE59" s="162"/>
      <c r="AF59" s="162"/>
      <c r="AG59" s="162"/>
      <c r="AH59" s="162"/>
      <c r="AI59" s="162"/>
      <c r="AJ59" s="162"/>
      <c r="AK59" s="162"/>
      <c r="AL59" s="162"/>
      <c r="AM59" s="162"/>
      <c r="AN59" s="162"/>
      <c r="AO59" s="162"/>
    </row>
    <row r="60" spans="1:41" ht="16.899999999999999" customHeight="1" x14ac:dyDescent="0.2">
      <c r="B60" s="161"/>
      <c r="C60" s="162"/>
      <c r="D60" s="162"/>
      <c r="E60" s="162"/>
      <c r="F60" s="162"/>
      <c r="G60" s="162"/>
      <c r="H60" s="162"/>
      <c r="I60" s="162"/>
      <c r="J60" s="162"/>
      <c r="K60" s="162"/>
      <c r="L60" s="162"/>
      <c r="M60" s="162"/>
      <c r="N60" s="162"/>
      <c r="O60" s="162"/>
      <c r="P60" s="162"/>
      <c r="Q60" s="162"/>
      <c r="R60" s="162"/>
      <c r="S60" s="162"/>
      <c r="T60" s="162"/>
      <c r="W60" s="161"/>
      <c r="X60" s="162"/>
      <c r="Y60" s="162"/>
      <c r="Z60" s="162"/>
      <c r="AA60" s="162"/>
      <c r="AB60" s="162"/>
      <c r="AC60" s="162"/>
      <c r="AD60" s="162"/>
      <c r="AE60" s="162"/>
      <c r="AF60" s="162"/>
      <c r="AG60" s="162"/>
      <c r="AH60" s="162"/>
      <c r="AI60" s="162"/>
      <c r="AJ60" s="162"/>
      <c r="AK60" s="162"/>
      <c r="AL60" s="162"/>
      <c r="AM60" s="162"/>
      <c r="AN60" s="162"/>
      <c r="AO60" s="162"/>
    </row>
  </sheetData>
  <mergeCells count="46">
    <mergeCell ref="A15:B15"/>
    <mergeCell ref="AG2:AL2"/>
    <mergeCell ref="A2:B3"/>
    <mergeCell ref="W58:AO58"/>
    <mergeCell ref="I43:K43"/>
    <mergeCell ref="C43:H43"/>
    <mergeCell ref="V41:W41"/>
    <mergeCell ref="C2:K2"/>
    <mergeCell ref="X29:AC29"/>
    <mergeCell ref="V2:W3"/>
    <mergeCell ref="V15:W15"/>
    <mergeCell ref="R2:T2"/>
    <mergeCell ref="L17:T17"/>
    <mergeCell ref="L2:Q2"/>
    <mergeCell ref="X2:AF2"/>
    <mergeCell ref="AG43:AO43"/>
    <mergeCell ref="V29:W30"/>
    <mergeCell ref="X43:AC43"/>
    <mergeCell ref="AL1:AO1"/>
    <mergeCell ref="AG17:AO17"/>
    <mergeCell ref="AM2:AO2"/>
    <mergeCell ref="AG29:AO29"/>
    <mergeCell ref="V43:W44"/>
    <mergeCell ref="B59:T59"/>
    <mergeCell ref="AD43:AF43"/>
    <mergeCell ref="A17:A18"/>
    <mergeCell ref="B58:T58"/>
    <mergeCell ref="L29:T29"/>
    <mergeCell ref="V55:W55"/>
    <mergeCell ref="W59:AO59"/>
    <mergeCell ref="B60:T60"/>
    <mergeCell ref="AD29:AF29"/>
    <mergeCell ref="AJ1:AK1"/>
    <mergeCell ref="B57:T57"/>
    <mergeCell ref="V17:V18"/>
    <mergeCell ref="X17:AF17"/>
    <mergeCell ref="C29:H29"/>
    <mergeCell ref="L43:T43"/>
    <mergeCell ref="W60:AO60"/>
    <mergeCell ref="A29:B30"/>
    <mergeCell ref="A41:B41"/>
    <mergeCell ref="W57:AO57"/>
    <mergeCell ref="C17:K17"/>
    <mergeCell ref="I29:K29"/>
    <mergeCell ref="A43:B44"/>
    <mergeCell ref="A55:B55"/>
  </mergeCells>
  <conditionalFormatting sqref="A2 C2:L2 R2 U2:V2 X2:AG2 AM2 X3:IV3 A4:A15 C12:T15 U12:U27 A13:T13 A16:T27 V16:W27 A29 C29 L29:T29 V29 X29 AG29:AO40 U29:U41 C30:T41 A31:A39 A40:B40 A41 A43 C43 I43 L43:T43 V43 X43 AD43 AG43:AO43 U43:U53 C44:T55 A45:A53 A54:B54 A55 U55:V55">
    <cfRule type="cellIs" dxfId="17" priority="42" operator="lessThan">
      <formula>0</formula>
    </cfRule>
  </conditionalFormatting>
  <conditionalFormatting sqref="A42:W42">
    <cfRule type="cellIs" dxfId="16" priority="29" operator="lessThan">
      <formula>0</formula>
    </cfRule>
  </conditionalFormatting>
  <conditionalFormatting sqref="A1:AI1 AL1 AP1:IV2 X30:AO34 X36:AO37 AA38:AO38 X39:AO39 X53:AF53 U55:U60 A56:T56 V56:W56 W57:W58 A57:B60 V59:W60 A61:AO65536">
    <cfRule type="cellIs" dxfId="15" priority="381" operator="lessThan">
      <formula>0</formula>
    </cfRule>
  </conditionalFormatting>
  <conditionalFormatting sqref="C3:U11">
    <cfRule type="cellIs" dxfId="14" priority="38" operator="lessThan">
      <formula>0</formula>
    </cfRule>
  </conditionalFormatting>
  <conditionalFormatting sqref="I29">
    <cfRule type="cellIs" dxfId="13" priority="30" operator="lessThan">
      <formula>0</formula>
    </cfRule>
  </conditionalFormatting>
  <conditionalFormatting sqref="V4:V15">
    <cfRule type="cellIs" dxfId="12" priority="11" operator="lessThan">
      <formula>0</formula>
    </cfRule>
  </conditionalFormatting>
  <conditionalFormatting sqref="V31:V39 V41">
    <cfRule type="cellIs" dxfId="11" priority="7" operator="lessThan">
      <formula>0</formula>
    </cfRule>
  </conditionalFormatting>
  <conditionalFormatting sqref="V45:V53">
    <cfRule type="cellIs" dxfId="10" priority="6" operator="lessThan">
      <formula>0</formula>
    </cfRule>
  </conditionalFormatting>
  <conditionalFormatting sqref="V40:AF40">
    <cfRule type="cellIs" dxfId="9" priority="4" operator="lessThan">
      <formula>0</formula>
    </cfRule>
  </conditionalFormatting>
  <conditionalFormatting sqref="V13:AO13">
    <cfRule type="cellIs" dxfId="8" priority="5" operator="lessThan">
      <formula>0</formula>
    </cfRule>
  </conditionalFormatting>
  <conditionalFormatting sqref="V54:AO54">
    <cfRule type="cellIs" dxfId="7" priority="3" operator="lessThan">
      <formula>0</formula>
    </cfRule>
  </conditionalFormatting>
  <conditionalFormatting sqref="X52:Z52">
    <cfRule type="cellIs" dxfId="6" priority="12" operator="lessThan">
      <formula>0</formula>
    </cfRule>
  </conditionalFormatting>
  <conditionalFormatting sqref="X30:AF39">
    <cfRule type="cellIs" dxfId="5" priority="34" operator="lessThan">
      <formula>0</formula>
    </cfRule>
  </conditionalFormatting>
  <conditionalFormatting sqref="X4:AO12 X14:AO28">
    <cfRule type="cellIs" dxfId="4" priority="26" operator="lessThan">
      <formula>0</formula>
    </cfRule>
  </conditionalFormatting>
  <conditionalFormatting sqref="X41:AO42">
    <cfRule type="cellIs" dxfId="3" priority="28" operator="lessThan">
      <formula>0</formula>
    </cfRule>
  </conditionalFormatting>
  <conditionalFormatting sqref="X44:AO53 X55:AO56">
    <cfRule type="cellIs" dxfId="2" priority="32" operator="lessThan">
      <formula>0</formula>
    </cfRule>
  </conditionalFormatting>
  <conditionalFormatting sqref="AD29">
    <cfRule type="cellIs" dxfId="1" priority="1" operator="lessThan">
      <formula>0</formula>
    </cfRule>
  </conditionalFormatting>
  <conditionalFormatting sqref="AP4:IV65536 A28:W28">
    <cfRule type="cellIs" dxfId="0" priority="27" operator="lessThan">
      <formula>0</formula>
    </cfRule>
  </conditionalFormatting>
  <printOptions horizontalCentered="1"/>
  <pageMargins left="0" right="0" top="0.5" bottom="0" header="0.3" footer="0.3"/>
  <pageSetup paperSize="9" scale="6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9"/>
  <sheetViews>
    <sheetView zoomScale="130" zoomScaleNormal="130" workbookViewId="0">
      <selection sqref="A1:I9"/>
    </sheetView>
  </sheetViews>
  <sheetFormatPr defaultColWidth="9" defaultRowHeight="16.149999999999999" customHeight="1" x14ac:dyDescent="0.25"/>
  <cols>
    <col min="1" max="1" width="5.75" style="74" bestFit="1" customWidth="1"/>
    <col min="2" max="4" width="7.875" style="74" customWidth="1"/>
    <col min="5" max="5" width="5.125" style="74" bestFit="1" customWidth="1"/>
    <col min="6" max="6" width="5.75" style="74" bestFit="1" customWidth="1"/>
    <col min="7" max="9" width="7.875" style="74" customWidth="1"/>
    <col min="10" max="13" width="5.125" style="74" bestFit="1" customWidth="1"/>
    <col min="14" max="14" width="9" style="74" customWidth="1"/>
    <col min="15" max="16384" width="9" style="74"/>
  </cols>
  <sheetData>
    <row r="1" spans="1:13" ht="16.149999999999999" customHeight="1" x14ac:dyDescent="0.25">
      <c r="A1" s="186" t="s">
        <v>46</v>
      </c>
      <c r="B1" s="187"/>
      <c r="C1" s="187"/>
      <c r="D1" s="188"/>
      <c r="E1" s="89"/>
      <c r="F1" s="186" t="s">
        <v>47</v>
      </c>
      <c r="G1" s="187"/>
      <c r="H1" s="187"/>
      <c r="I1" s="188"/>
      <c r="J1" s="90"/>
      <c r="K1" s="90"/>
      <c r="L1" s="90"/>
      <c r="M1" s="90"/>
    </row>
    <row r="2" spans="1:13" ht="16.149999999999999" customHeight="1" x14ac:dyDescent="0.25">
      <c r="A2" s="191" t="s">
        <v>48</v>
      </c>
      <c r="B2" s="88" t="s">
        <v>49</v>
      </c>
      <c r="C2" s="88" t="s">
        <v>50</v>
      </c>
      <c r="D2" s="88" t="s">
        <v>51</v>
      </c>
      <c r="E2" s="91"/>
      <c r="F2" s="189" t="s">
        <v>48</v>
      </c>
      <c r="G2" s="88" t="s">
        <v>49</v>
      </c>
      <c r="H2" s="88" t="s">
        <v>50</v>
      </c>
      <c r="I2" s="88" t="s">
        <v>51</v>
      </c>
      <c r="J2" s="90"/>
      <c r="K2" s="90"/>
      <c r="L2" s="90"/>
      <c r="M2" s="90"/>
    </row>
    <row r="3" spans="1:13" ht="16.149999999999999" customHeight="1" x14ac:dyDescent="0.25">
      <c r="A3" s="190"/>
      <c r="B3" s="92" t="s">
        <v>11</v>
      </c>
      <c r="C3" s="92" t="s">
        <v>11</v>
      </c>
      <c r="D3" s="92" t="s">
        <v>11</v>
      </c>
      <c r="E3" s="91"/>
      <c r="F3" s="190"/>
      <c r="G3" s="92" t="s">
        <v>11</v>
      </c>
      <c r="H3" s="92" t="s">
        <v>11</v>
      </c>
      <c r="I3" s="92" t="s">
        <v>11</v>
      </c>
      <c r="J3" s="93"/>
      <c r="K3" s="93"/>
      <c r="L3" s="93"/>
      <c r="M3" s="93"/>
    </row>
    <row r="4" spans="1:13" ht="16.149999999999999" customHeight="1" x14ac:dyDescent="0.25">
      <c r="A4" s="94">
        <v>2025</v>
      </c>
      <c r="B4" s="95">
        <v>5</v>
      </c>
      <c r="C4" s="95"/>
      <c r="D4" s="95"/>
      <c r="E4" s="91"/>
      <c r="F4" s="94">
        <v>2025</v>
      </c>
      <c r="G4" s="95">
        <v>11</v>
      </c>
      <c r="H4" s="95"/>
      <c r="I4" s="95"/>
      <c r="J4" s="93"/>
      <c r="K4" s="93"/>
      <c r="L4" s="93"/>
      <c r="M4" s="93"/>
    </row>
    <row r="5" spans="1:13" ht="16.149999999999999" customHeight="1" x14ac:dyDescent="0.25">
      <c r="A5" s="96">
        <v>2023</v>
      </c>
      <c r="B5" s="97">
        <v>2</v>
      </c>
      <c r="C5" s="97"/>
      <c r="D5" s="97"/>
      <c r="E5" s="85"/>
      <c r="F5" s="96">
        <v>2023</v>
      </c>
      <c r="G5" s="97"/>
      <c r="H5" s="97"/>
      <c r="I5" s="97"/>
    </row>
    <row r="6" spans="1:13" ht="16.149999999999999" customHeight="1" x14ac:dyDescent="0.25">
      <c r="A6" s="96">
        <v>2021</v>
      </c>
      <c r="B6" s="97">
        <v>9</v>
      </c>
      <c r="C6" s="97"/>
      <c r="D6" s="97"/>
      <c r="F6" s="96">
        <v>2021</v>
      </c>
      <c r="G6" s="97">
        <v>9</v>
      </c>
      <c r="H6" s="97"/>
      <c r="I6" s="97"/>
    </row>
    <row r="7" spans="1:13" ht="16.149999999999999" customHeight="1" x14ac:dyDescent="0.25">
      <c r="A7" s="96">
        <v>2020</v>
      </c>
      <c r="B7" s="97">
        <v>8</v>
      </c>
      <c r="C7" s="97"/>
      <c r="D7" s="97"/>
      <c r="F7" s="96">
        <v>2020</v>
      </c>
      <c r="G7" s="97">
        <v>4</v>
      </c>
      <c r="H7" s="97"/>
      <c r="I7" s="97"/>
    </row>
    <row r="8" spans="1:13" ht="16.149999999999999" customHeight="1" thickBot="1" x14ac:dyDescent="0.3">
      <c r="A8" s="98" t="s">
        <v>52</v>
      </c>
      <c r="B8" s="99">
        <f>SUM(B4:B7)</f>
        <v>24</v>
      </c>
      <c r="C8" s="99">
        <f>SUM(C4:C7)</f>
        <v>0</v>
      </c>
      <c r="D8" s="99">
        <f>SUM(D4:D7)</f>
        <v>0</v>
      </c>
      <c r="E8" s="100"/>
      <c r="F8" s="98" t="s">
        <v>52</v>
      </c>
      <c r="G8" s="99">
        <f>SUM(G4:G7)</f>
        <v>24</v>
      </c>
      <c r="H8" s="99">
        <f>SUM(H4:H7)</f>
        <v>0</v>
      </c>
      <c r="I8" s="99">
        <f>SUM(I4:I7)</f>
        <v>0</v>
      </c>
      <c r="J8" s="101"/>
    </row>
    <row r="9" spans="1:13" ht="16.149999999999999" customHeight="1" thickTop="1" x14ac:dyDescent="0.25"/>
  </sheetData>
  <mergeCells count="4">
    <mergeCell ref="A1:D1"/>
    <mergeCell ref="F2:F3"/>
    <mergeCell ref="A2:A3"/>
    <mergeCell ref="F1:I1"/>
  </mergeCell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L21"/>
  <sheetViews>
    <sheetView zoomScale="130" zoomScaleNormal="130" workbookViewId="0">
      <selection activeCell="B1" sqref="B1:K21"/>
    </sheetView>
  </sheetViews>
  <sheetFormatPr defaultColWidth="8.75" defaultRowHeight="15.6" customHeight="1" x14ac:dyDescent="0.2"/>
  <cols>
    <col min="1" max="1" width="1.375" style="87" customWidth="1"/>
    <col min="2" max="2" width="18.25" style="87" bestFit="1" customWidth="1"/>
    <col min="3" max="11" width="5.5" style="87" customWidth="1"/>
    <col min="12" max="12" width="18" style="73" customWidth="1"/>
    <col min="13" max="13" width="1.375" style="87" customWidth="1"/>
    <col min="14" max="14" width="8.75" style="87" customWidth="1"/>
    <col min="15" max="16384" width="8.75" style="87"/>
  </cols>
  <sheetData>
    <row r="1" spans="2:12" ht="15.6" customHeight="1" thickBot="1" x14ac:dyDescent="0.25">
      <c r="B1" s="195" t="s">
        <v>46</v>
      </c>
      <c r="C1" s="193"/>
      <c r="D1" s="193"/>
      <c r="E1" s="193"/>
      <c r="F1" s="193"/>
      <c r="G1" s="193"/>
      <c r="H1" s="193"/>
      <c r="I1" s="193"/>
      <c r="J1" s="193"/>
      <c r="K1" s="194"/>
    </row>
    <row r="2" spans="2:12" ht="15.6" customHeight="1" thickBot="1" x14ac:dyDescent="0.25">
      <c r="B2" s="75" t="s">
        <v>53</v>
      </c>
      <c r="C2" s="76" t="s">
        <v>7</v>
      </c>
      <c r="D2" s="77" t="s">
        <v>8</v>
      </c>
      <c r="E2" s="76" t="s">
        <v>9</v>
      </c>
      <c r="F2" s="76" t="s">
        <v>10</v>
      </c>
      <c r="G2" s="76" t="s">
        <v>11</v>
      </c>
      <c r="H2" s="76" t="s">
        <v>12</v>
      </c>
      <c r="I2" s="76" t="s">
        <v>13</v>
      </c>
      <c r="J2" s="76" t="s">
        <v>14</v>
      </c>
      <c r="K2" s="76" t="s">
        <v>15</v>
      </c>
    </row>
    <row r="3" spans="2:12" ht="15.6" customHeight="1" thickBot="1" x14ac:dyDescent="0.25">
      <c r="B3" s="78" t="s">
        <v>54</v>
      </c>
      <c r="C3" s="79">
        <f>Daily!L15</f>
        <v>1479</v>
      </c>
      <c r="D3" s="79">
        <f>Daily!M15</f>
        <v>4</v>
      </c>
      <c r="E3" s="79">
        <f>Daily!N15</f>
        <v>1423</v>
      </c>
      <c r="F3" s="79">
        <f>Daily!O15</f>
        <v>38</v>
      </c>
      <c r="G3" s="79">
        <f>Daily!P15</f>
        <v>45</v>
      </c>
      <c r="H3" s="79">
        <f>Daily!Q15</f>
        <v>0</v>
      </c>
      <c r="I3" s="79">
        <f>Daily!R15</f>
        <v>0</v>
      </c>
      <c r="J3" s="79">
        <f>Daily!S15</f>
        <v>0</v>
      </c>
      <c r="K3" s="79">
        <f>Daily!T15</f>
        <v>0</v>
      </c>
    </row>
    <row r="4" spans="2:12" ht="15.6" customHeight="1" thickBot="1" x14ac:dyDescent="0.25">
      <c r="B4" s="78" t="s">
        <v>55</v>
      </c>
      <c r="C4" s="156">
        <f>Daily!L14</f>
        <v>0</v>
      </c>
      <c r="D4" s="156">
        <f>Daily!M14</f>
        <v>0</v>
      </c>
      <c r="E4" s="156">
        <f>Daily!N14</f>
        <v>0</v>
      </c>
      <c r="F4" s="156">
        <f>Daily!O14</f>
        <v>0</v>
      </c>
      <c r="G4" s="156">
        <f>Daily!P14</f>
        <v>0</v>
      </c>
      <c r="H4" s="156">
        <f>Daily!Q14</f>
        <v>0</v>
      </c>
      <c r="I4" s="156">
        <f>Daily!R14</f>
        <v>0</v>
      </c>
      <c r="J4" s="156">
        <f>Daily!S14</f>
        <v>0</v>
      </c>
      <c r="K4" s="156">
        <f>Daily!T14</f>
        <v>0</v>
      </c>
    </row>
    <row r="5" spans="2:12" ht="15.6" customHeight="1" thickBot="1" x14ac:dyDescent="0.25">
      <c r="B5" s="80"/>
      <c r="C5" s="81"/>
      <c r="D5" s="81"/>
      <c r="E5" s="81"/>
      <c r="F5" s="81"/>
      <c r="G5" s="81"/>
      <c r="H5" s="81"/>
      <c r="I5" s="81"/>
      <c r="J5" s="81"/>
      <c r="K5" s="81"/>
    </row>
    <row r="6" spans="2:12" ht="15.6" customHeight="1" thickBot="1" x14ac:dyDescent="0.25">
      <c r="B6" s="80"/>
      <c r="C6" s="81"/>
      <c r="D6" s="81"/>
      <c r="E6" s="81"/>
      <c r="F6" s="81"/>
      <c r="G6" s="197"/>
      <c r="H6" s="81"/>
      <c r="I6" s="81"/>
      <c r="J6" s="81"/>
      <c r="K6" s="81"/>
    </row>
    <row r="7" spans="2:12" ht="15.6" customHeight="1" thickBot="1" x14ac:dyDescent="0.25">
      <c r="B7" s="82" t="s">
        <v>56</v>
      </c>
      <c r="C7" s="157">
        <f>Daily!C15</f>
        <v>220</v>
      </c>
      <c r="D7" s="157">
        <f>Daily!D15</f>
        <v>0</v>
      </c>
      <c r="E7" s="157">
        <f>Daily!E15</f>
        <v>220</v>
      </c>
      <c r="F7" s="157">
        <f>Daily!F15</f>
        <v>3</v>
      </c>
      <c r="G7" s="157">
        <f>Daily!G15</f>
        <v>7</v>
      </c>
      <c r="H7" s="157">
        <f>Daily!H15</f>
        <v>0</v>
      </c>
      <c r="I7" s="157">
        <f>Daily!I15</f>
        <v>0</v>
      </c>
      <c r="J7" s="157">
        <f>Daily!J15</f>
        <v>0</v>
      </c>
      <c r="K7" s="157">
        <f>Daily!K15</f>
        <v>0</v>
      </c>
    </row>
    <row r="8" spans="2:12" ht="15.6" customHeight="1" thickBot="1" x14ac:dyDescent="0.25">
      <c r="B8" s="78" t="s">
        <v>57</v>
      </c>
      <c r="C8" s="156">
        <f>Daily!C41</f>
        <v>213</v>
      </c>
      <c r="D8" s="156">
        <f>Daily!D41</f>
        <v>0</v>
      </c>
      <c r="E8" s="156">
        <f>Daily!E41</f>
        <v>254</v>
      </c>
      <c r="F8" s="156">
        <f>Daily!F41</f>
        <v>3</v>
      </c>
      <c r="G8" s="156">
        <f>Daily!G41</f>
        <v>29</v>
      </c>
      <c r="H8" s="156">
        <f>Daily!H41</f>
        <v>0</v>
      </c>
      <c r="I8" s="156">
        <f>Daily!I41</f>
        <v>0</v>
      </c>
      <c r="J8" s="156">
        <f>Daily!J41</f>
        <v>0</v>
      </c>
      <c r="K8" s="156">
        <f>Daily!K41</f>
        <v>0</v>
      </c>
      <c r="L8" s="73" t="str">
        <f>Daily!I29</f>
        <v>29/09-04/10/2026</v>
      </c>
    </row>
    <row r="9" spans="2:12" ht="15.6" customHeight="1" thickBot="1" x14ac:dyDescent="0.25">
      <c r="B9" s="78" t="s">
        <v>58</v>
      </c>
      <c r="C9" s="158">
        <f>Daily!C55</f>
        <v>224</v>
      </c>
      <c r="D9" s="158">
        <f>Daily!D55</f>
        <v>0</v>
      </c>
      <c r="E9" s="158">
        <f>Daily!E55</f>
        <v>199</v>
      </c>
      <c r="F9" s="158">
        <f>Daily!F55</f>
        <v>2</v>
      </c>
      <c r="G9" s="158">
        <f>Daily!G55</f>
        <v>16</v>
      </c>
      <c r="H9" s="158">
        <f>Daily!H55</f>
        <v>0</v>
      </c>
      <c r="I9" s="158">
        <f>Daily!I55</f>
        <v>0</v>
      </c>
      <c r="J9" s="158">
        <f>Daily!J55</f>
        <v>0</v>
      </c>
      <c r="K9" s="158">
        <f>Daily!K55</f>
        <v>0</v>
      </c>
      <c r="L9" s="83" t="str">
        <f>Daily!I43</f>
        <v>05-11/10/2026</v>
      </c>
    </row>
    <row r="10" spans="2:12" ht="15.6" customHeight="1" thickBot="1" x14ac:dyDescent="0.25">
      <c r="B10" s="84" t="s">
        <v>59</v>
      </c>
      <c r="C10" s="159">
        <f t="shared" ref="C10:K10" si="0">SUM(C3+C4+C5+C6+C7-C8-C9)</f>
        <v>1262</v>
      </c>
      <c r="D10" s="159">
        <f t="shared" si="0"/>
        <v>4</v>
      </c>
      <c r="E10" s="159">
        <f t="shared" si="0"/>
        <v>1190</v>
      </c>
      <c r="F10" s="159">
        <f t="shared" si="0"/>
        <v>36</v>
      </c>
      <c r="G10" s="159">
        <f t="shared" si="0"/>
        <v>7</v>
      </c>
      <c r="H10" s="196">
        <f t="shared" si="0"/>
        <v>0</v>
      </c>
      <c r="I10" s="196">
        <f t="shared" si="0"/>
        <v>0</v>
      </c>
      <c r="J10" s="196">
        <f t="shared" si="0"/>
        <v>0</v>
      </c>
      <c r="K10" s="196">
        <f t="shared" si="0"/>
        <v>0</v>
      </c>
    </row>
    <row r="11" spans="2:12" ht="9.6" customHeight="1" thickBot="1" x14ac:dyDescent="0.25">
      <c r="B11" s="85"/>
      <c r="C11" s="85"/>
      <c r="D11" s="85"/>
      <c r="E11" s="85"/>
      <c r="F11" s="85"/>
      <c r="G11" s="85"/>
      <c r="H11" s="85"/>
      <c r="I11" s="85"/>
      <c r="J11" s="85"/>
      <c r="K11" s="85"/>
    </row>
    <row r="12" spans="2:12" ht="15.6" customHeight="1" thickBot="1" x14ac:dyDescent="0.25">
      <c r="B12" s="192" t="s">
        <v>47</v>
      </c>
      <c r="C12" s="193"/>
      <c r="D12" s="193"/>
      <c r="E12" s="193"/>
      <c r="F12" s="193"/>
      <c r="G12" s="193"/>
      <c r="H12" s="193"/>
      <c r="I12" s="193"/>
      <c r="J12" s="193"/>
      <c r="K12" s="194"/>
    </row>
    <row r="13" spans="2:12" ht="15.6" customHeight="1" thickBot="1" x14ac:dyDescent="0.25">
      <c r="B13" s="75" t="s">
        <v>53</v>
      </c>
      <c r="C13" s="76" t="s">
        <v>7</v>
      </c>
      <c r="D13" s="76" t="s">
        <v>8</v>
      </c>
      <c r="E13" s="76" t="s">
        <v>9</v>
      </c>
      <c r="F13" s="76" t="s">
        <v>10</v>
      </c>
      <c r="G13" s="76" t="s">
        <v>11</v>
      </c>
      <c r="H13" s="76" t="s">
        <v>12</v>
      </c>
      <c r="I13" s="76" t="s">
        <v>13</v>
      </c>
      <c r="J13" s="76" t="s">
        <v>14</v>
      </c>
      <c r="K13" s="76" t="s">
        <v>15</v>
      </c>
    </row>
    <row r="14" spans="2:12" ht="15.6" customHeight="1" thickBot="1" x14ac:dyDescent="0.25">
      <c r="B14" s="78" t="s">
        <v>54</v>
      </c>
      <c r="C14" s="79">
        <f>Daily!AG15</f>
        <v>2089</v>
      </c>
      <c r="D14" s="79">
        <f>Daily!AH15</f>
        <v>2</v>
      </c>
      <c r="E14" s="79">
        <f>Daily!AI15</f>
        <v>1058</v>
      </c>
      <c r="F14" s="79">
        <f>Daily!AJ15</f>
        <v>6</v>
      </c>
      <c r="G14" s="79">
        <f>Daily!AK15</f>
        <v>40</v>
      </c>
      <c r="H14" s="79">
        <f>Daily!AL15</f>
        <v>1</v>
      </c>
      <c r="I14" s="79">
        <f>Daily!AM15</f>
        <v>2</v>
      </c>
      <c r="J14" s="79">
        <f>Daily!AN15</f>
        <v>3</v>
      </c>
      <c r="K14" s="79">
        <f>Daily!AO15</f>
        <v>1</v>
      </c>
    </row>
    <row r="15" spans="2:12" ht="15.6" customHeight="1" thickBot="1" x14ac:dyDescent="0.25">
      <c r="B15" s="78" t="s">
        <v>55</v>
      </c>
      <c r="C15" s="156">
        <f>Daily!AG14</f>
        <v>198</v>
      </c>
      <c r="D15" s="156">
        <f>Daily!AH14</f>
        <v>0</v>
      </c>
      <c r="E15" s="156">
        <f>Daily!AI14</f>
        <v>0</v>
      </c>
      <c r="F15" s="156">
        <f>Daily!AJ14</f>
        <v>0</v>
      </c>
      <c r="G15" s="156">
        <f>Daily!AK14</f>
        <v>0</v>
      </c>
      <c r="H15" s="156">
        <f>Daily!AL14</f>
        <v>0</v>
      </c>
      <c r="I15" s="156">
        <f>Daily!AM14</f>
        <v>0</v>
      </c>
      <c r="J15" s="156">
        <f>Daily!AN14</f>
        <v>0</v>
      </c>
      <c r="K15" s="156">
        <f>Daily!AO14</f>
        <v>0</v>
      </c>
    </row>
    <row r="16" spans="2:12" ht="15.6" customHeight="1" thickBot="1" x14ac:dyDescent="0.25">
      <c r="B16" s="80"/>
      <c r="C16" s="81"/>
      <c r="D16" s="81"/>
      <c r="E16" s="81"/>
      <c r="F16" s="81"/>
      <c r="G16" s="81"/>
      <c r="H16" s="81"/>
      <c r="I16" s="81"/>
      <c r="J16" s="81"/>
      <c r="K16" s="81"/>
    </row>
    <row r="17" spans="2:12" ht="15.6" customHeight="1" thickBot="1" x14ac:dyDescent="0.25">
      <c r="B17" s="80"/>
      <c r="C17" s="81"/>
      <c r="D17" s="81"/>
      <c r="E17" s="81"/>
      <c r="F17" s="81"/>
      <c r="G17" s="81"/>
      <c r="H17" s="81"/>
      <c r="I17" s="81"/>
      <c r="J17" s="81"/>
      <c r="K17" s="81"/>
    </row>
    <row r="18" spans="2:12" ht="15.6" customHeight="1" thickBot="1" x14ac:dyDescent="0.25">
      <c r="B18" s="82" t="s">
        <v>56</v>
      </c>
      <c r="C18" s="157">
        <f>Daily!X15</f>
        <v>123</v>
      </c>
      <c r="D18" s="157">
        <f>Daily!Y15</f>
        <v>0</v>
      </c>
      <c r="E18" s="157">
        <f>Daily!Z15</f>
        <v>190</v>
      </c>
      <c r="F18" s="157">
        <f>Daily!AA15</f>
        <v>0</v>
      </c>
      <c r="G18" s="157">
        <f>Daily!AB15</f>
        <v>13</v>
      </c>
      <c r="H18" s="157">
        <f>Daily!AC15</f>
        <v>0</v>
      </c>
      <c r="I18" s="157">
        <f>Daily!AD15</f>
        <v>0</v>
      </c>
      <c r="J18" s="157">
        <f>Daily!AE15</f>
        <v>0</v>
      </c>
      <c r="K18" s="157">
        <f>Daily!AF15</f>
        <v>0</v>
      </c>
    </row>
    <row r="19" spans="2:12" ht="15.6" customHeight="1" thickBot="1" x14ac:dyDescent="0.25">
      <c r="B19" s="86" t="s">
        <v>57</v>
      </c>
      <c r="C19" s="158">
        <f>Daily!X41</f>
        <v>379</v>
      </c>
      <c r="D19" s="158">
        <f>Daily!Y41</f>
        <v>0</v>
      </c>
      <c r="E19" s="158">
        <f>Daily!Z41</f>
        <v>261</v>
      </c>
      <c r="F19" s="158">
        <f>Daily!AA41</f>
        <v>1</v>
      </c>
      <c r="G19" s="158">
        <f>Daily!AB41</f>
        <v>27</v>
      </c>
      <c r="H19" s="158">
        <f>Daily!AC41</f>
        <v>0</v>
      </c>
      <c r="I19" s="160">
        <f>Daily!AD41</f>
        <v>0</v>
      </c>
      <c r="J19" s="160">
        <f>Daily!AE41</f>
        <v>0</v>
      </c>
      <c r="K19" s="158">
        <f>Daily!AF41</f>
        <v>1</v>
      </c>
      <c r="L19" s="73" t="str">
        <f>Daily!AD29</f>
        <v>29/09-04/10/2026</v>
      </c>
    </row>
    <row r="20" spans="2:12" ht="15.6" customHeight="1" thickBot="1" x14ac:dyDescent="0.25">
      <c r="B20" s="86" t="s">
        <v>58</v>
      </c>
      <c r="C20" s="158">
        <f>Daily!X55</f>
        <v>197</v>
      </c>
      <c r="D20" s="158">
        <f>Daily!Y55</f>
        <v>0</v>
      </c>
      <c r="E20" s="158">
        <f>Daily!Z55</f>
        <v>180</v>
      </c>
      <c r="F20" s="158">
        <f>Daily!AA55</f>
        <v>0</v>
      </c>
      <c r="G20" s="158">
        <f>Daily!AB55</f>
        <v>15</v>
      </c>
      <c r="H20" s="158">
        <f>Daily!AC55</f>
        <v>0</v>
      </c>
      <c r="I20" s="158">
        <f>Daily!AD55</f>
        <v>0</v>
      </c>
      <c r="J20" s="158">
        <f>Daily!AE55</f>
        <v>1</v>
      </c>
      <c r="K20" s="158">
        <f>Daily!AF55</f>
        <v>0</v>
      </c>
      <c r="L20" s="73" t="str">
        <f>Daily!AD43</f>
        <v>05-11/10/2026</v>
      </c>
    </row>
    <row r="21" spans="2:12" ht="15.6" customHeight="1" thickBot="1" x14ac:dyDescent="0.25">
      <c r="B21" s="84" t="s">
        <v>59</v>
      </c>
      <c r="C21" s="159">
        <f t="shared" ref="C21:K21" si="1">SUM(C14+C15+C16+C17+C18-C19-C20)</f>
        <v>1834</v>
      </c>
      <c r="D21" s="159">
        <f t="shared" si="1"/>
        <v>2</v>
      </c>
      <c r="E21" s="159">
        <f t="shared" si="1"/>
        <v>807</v>
      </c>
      <c r="F21" s="159">
        <f t="shared" si="1"/>
        <v>5</v>
      </c>
      <c r="G21" s="159">
        <f t="shared" si="1"/>
        <v>11</v>
      </c>
      <c r="H21" s="159">
        <f t="shared" si="1"/>
        <v>1</v>
      </c>
      <c r="I21" s="159">
        <f t="shared" si="1"/>
        <v>2</v>
      </c>
      <c r="J21" s="159">
        <f t="shared" si="1"/>
        <v>2</v>
      </c>
      <c r="K21" s="196">
        <f t="shared" si="1"/>
        <v>0</v>
      </c>
    </row>
  </sheetData>
  <mergeCells count="2">
    <mergeCell ref="B12:K12"/>
    <mergeCell ref="B1:K1"/>
  </mergeCells>
  <pageMargins left="0.7" right="0.7" top="0.75" bottom="0.75" header="0.3" footer="0.3"/>
  <pageSetup paperSize="9" scale="8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Daily</vt:lpstr>
      <vt:lpstr>RF SEASONAL</vt:lpstr>
      <vt:lpstr>NEW 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</dc:creator>
  <cp:lastModifiedBy>office4</cp:lastModifiedBy>
  <cp:lastPrinted>2024-09-09T03:49:54Z</cp:lastPrinted>
  <dcterms:created xsi:type="dcterms:W3CDTF">2017-07-14T08:45:38Z</dcterms:created>
  <dcterms:modified xsi:type="dcterms:W3CDTF">2026-09-29T01:36:17Z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0x010100914857A4227435469362FDDEDB128B4D</vt:lpwstr>
  </property>
</Properties>
</file>
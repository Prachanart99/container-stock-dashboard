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AppData\Local\Microsoft\Windows\INetCache\Content.Outlook\AI0R9D4I\"/>
    </mc:Choice>
  </mc:AlternateContent>
  <xr:revisionPtr revIDLastSave="0" documentId="8_{A78F3DBA-0FA4-4144-B235-E5B8EB9384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G18" i="3"/>
  <c r="K15" i="3"/>
  <c r="J15" i="3"/>
  <c r="I15" i="3"/>
  <c r="H15" i="3"/>
  <c r="G15" i="3"/>
  <c r="F15" i="3"/>
  <c r="E15" i="3"/>
  <c r="D15" i="3"/>
  <c r="C15" i="3"/>
  <c r="G14" i="3"/>
  <c r="C14" i="3"/>
  <c r="L9" i="3"/>
  <c r="H9" i="3"/>
  <c r="G9" i="3"/>
  <c r="C9" i="3"/>
  <c r="L8" i="3"/>
  <c r="H8" i="3"/>
  <c r="F8" i="3"/>
  <c r="K4" i="3"/>
  <c r="J4" i="3"/>
  <c r="I4" i="3"/>
  <c r="H4" i="3"/>
  <c r="G4" i="3"/>
  <c r="F4" i="3"/>
  <c r="E4" i="3"/>
  <c r="D4" i="3"/>
  <c r="C4" i="3"/>
  <c r="K3" i="3"/>
  <c r="I3" i="3"/>
  <c r="E3" i="3"/>
  <c r="D3" i="3"/>
  <c r="C3" i="3"/>
  <c r="C10" i="3" s="1"/>
  <c r="I11" i="2"/>
  <c r="H11" i="2"/>
  <c r="G11" i="2"/>
  <c r="D11" i="2"/>
  <c r="C11" i="2"/>
  <c r="B11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G55" i="1"/>
  <c r="F55" i="1"/>
  <c r="F9" i="3" s="1"/>
  <c r="E55" i="1"/>
  <c r="E9" i="3" s="1"/>
  <c r="D55" i="1"/>
  <c r="D9" i="3" s="1"/>
  <c r="C55" i="1"/>
  <c r="AL54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G41" i="1"/>
  <c r="G8" i="3" s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6" i="1" s="1"/>
  <c r="AK32" i="1"/>
  <c r="AK41" i="1" s="1"/>
  <c r="AJ32" i="1"/>
  <c r="AJ41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1" i="1" s="1"/>
  <c r="P32" i="1"/>
  <c r="P46" i="1" s="1"/>
  <c r="O32" i="1"/>
  <c r="O41" i="1" s="1"/>
  <c r="N32" i="1"/>
  <c r="N46" i="1" s="1"/>
  <c r="M32" i="1"/>
  <c r="M46" i="1" s="1"/>
  <c r="L32" i="1"/>
  <c r="L46" i="1" s="1"/>
  <c r="AO31" i="1"/>
  <c r="AO45" i="1" s="1"/>
  <c r="AN31" i="1"/>
  <c r="AN45" i="1" s="1"/>
  <c r="AM31" i="1"/>
  <c r="AM45" i="1" s="1"/>
  <c r="AL31" i="1"/>
  <c r="AL45" i="1" s="1"/>
  <c r="AK31" i="1"/>
  <c r="AK45" i="1" s="1"/>
  <c r="AJ31" i="1"/>
  <c r="AJ45" i="1" s="1"/>
  <c r="AI31" i="1"/>
  <c r="AI41" i="1" s="1"/>
  <c r="AH31" i="1"/>
  <c r="AH45" i="1" s="1"/>
  <c r="AG31" i="1"/>
  <c r="AG41" i="1" s="1"/>
  <c r="T31" i="1"/>
  <c r="T41" i="1" s="1"/>
  <c r="S31" i="1"/>
  <c r="S41" i="1" s="1"/>
  <c r="R31" i="1"/>
  <c r="R41" i="1" s="1"/>
  <c r="Q31" i="1"/>
  <c r="Q45" i="1" s="1"/>
  <c r="P31" i="1"/>
  <c r="P45" i="1" s="1"/>
  <c r="O31" i="1"/>
  <c r="O45" i="1" s="1"/>
  <c r="N31" i="1"/>
  <c r="N45" i="1" s="1"/>
  <c r="M31" i="1"/>
  <c r="M45" i="1" s="1"/>
  <c r="L31" i="1"/>
  <c r="L45" i="1" s="1"/>
  <c r="L55" i="1" s="1"/>
  <c r="AO15" i="1"/>
  <c r="K14" i="3" s="1"/>
  <c r="AN15" i="1"/>
  <c r="J14" i="3" s="1"/>
  <c r="AM15" i="1"/>
  <c r="I14" i="3" s="1"/>
  <c r="I21" i="3" s="1"/>
  <c r="AL15" i="1"/>
  <c r="H14" i="3" s="1"/>
  <c r="H21" i="3" s="1"/>
  <c r="AK15" i="1"/>
  <c r="AJ15" i="1"/>
  <c r="F14" i="3" s="1"/>
  <c r="AI15" i="1"/>
  <c r="E14" i="3" s="1"/>
  <c r="AH15" i="1"/>
  <c r="D14" i="3" s="1"/>
  <c r="AG15" i="1"/>
  <c r="AF15" i="1"/>
  <c r="K18" i="3" s="1"/>
  <c r="AE15" i="1"/>
  <c r="J18" i="3" s="1"/>
  <c r="AD15" i="1"/>
  <c r="I18" i="3" s="1"/>
  <c r="AC15" i="1"/>
  <c r="H18" i="3" s="1"/>
  <c r="AB15" i="1"/>
  <c r="AA15" i="1"/>
  <c r="F18" i="3" s="1"/>
  <c r="Z15" i="1"/>
  <c r="E18" i="3" s="1"/>
  <c r="Y15" i="1"/>
  <c r="D18" i="3" s="1"/>
  <c r="X15" i="1"/>
  <c r="C18" i="3" s="1"/>
  <c r="T15" i="1"/>
  <c r="S15" i="1"/>
  <c r="J3" i="3" s="1"/>
  <c r="R15" i="1"/>
  <c r="Q15" i="1"/>
  <c r="H3" i="3" s="1"/>
  <c r="P15" i="1"/>
  <c r="G3" i="3" s="1"/>
  <c r="O15" i="1"/>
  <c r="F3" i="3" s="1"/>
  <c r="N15" i="1"/>
  <c r="M15" i="1"/>
  <c r="L15" i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AO55" i="1" l="1"/>
  <c r="J21" i="3"/>
  <c r="I10" i="3"/>
  <c r="K21" i="3"/>
  <c r="K10" i="3"/>
  <c r="F10" i="3"/>
  <c r="G10" i="3"/>
  <c r="M55" i="1"/>
  <c r="D10" i="3"/>
  <c r="E10" i="3"/>
  <c r="H10" i="3"/>
  <c r="N55" i="1"/>
  <c r="AL55" i="1"/>
  <c r="AM55" i="1"/>
  <c r="J10" i="3"/>
  <c r="D21" i="3"/>
  <c r="P55" i="1"/>
  <c r="AN55" i="1"/>
  <c r="C21" i="3"/>
  <c r="AH55" i="1"/>
  <c r="E21" i="3"/>
  <c r="G21" i="3"/>
  <c r="F21" i="3"/>
  <c r="L41" i="1"/>
  <c r="AM41" i="1"/>
  <c r="AG45" i="1"/>
  <c r="AG55" i="1" s="1"/>
  <c r="O46" i="1"/>
  <c r="O55" i="1" s="1"/>
  <c r="M41" i="1"/>
  <c r="AN41" i="1"/>
  <c r="T45" i="1"/>
  <c r="T55" i="1" s="1"/>
  <c r="N41" i="1"/>
  <c r="AO41" i="1"/>
  <c r="AI45" i="1"/>
  <c r="AI55" i="1" s="1"/>
  <c r="Q46" i="1"/>
  <c r="Q55" i="1" s="1"/>
  <c r="S45" i="1"/>
  <c r="S55" i="1" s="1"/>
  <c r="AL41" i="1"/>
  <c r="AK46" i="1"/>
  <c r="AK55" i="1" s="1"/>
  <c r="P41" i="1"/>
  <c r="R45" i="1"/>
  <c r="R55" i="1" s="1"/>
  <c r="AJ46" i="1"/>
  <c r="AJ55" i="1" s="1"/>
  <c r="AH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<sst xmlns="http://schemas.openxmlformats.org/spreadsheetml/2006/main" count="305" uniqueCount="60">
  <si>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</si>
  <si>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</si>
  <si>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</si>
  <si>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</si>
  <si>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</si>
  <si>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</si>
  <si>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</si>
  <si>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</si>
  <si>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</si>
  <si>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</si>
  <si>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</si>
  <si>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</si>
  <si>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</si>
  <si>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</si>
  <si>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</si>
  <si>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</si>
  <si>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</si>
  <si>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</si>
  <si>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</si>
  <si>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</si>
  <si>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</si>
  <si>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</si>
  <si>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</si>
  <si>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</si>
  <si>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</si>
  <si>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</si>
  <si>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</si>
  <si>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</si>
  <si>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</si>
  <si>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</si>
  <si>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</si>
  <si>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</si>
  <si>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</si>
  <si>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</si>
  <si>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</si>
  <si>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</si>
  <si>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</si>
  <si>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</si>
  <si>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</si>
  <si>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</si>
  <si>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22-27/09/2026</t>
  </si>
  <si>
    <t>STOCK BALANCE END WK (BKK)</t>
  </si>
  <si>
    <t>BOOKING (LCH)</t>
  </si>
  <si>
    <t>STOCK BALANCE END WK (LCH)</t>
  </si>
  <si>
    <t xml:space="preserve">   </t>
  </si>
  <si>
    <t>28/09-04/10/2026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</si>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</sst>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FF"/>
      <name val="Aptos"/>
      <family val="2"/>
    </font>
    <font>
      <b/>
      <sz val="10"/>
      <color rgb="FF0000FF"/>
      <name val="Aptos"/>
      <family val="2"/>
    </font>
    <font>
      <b/>
      <sz val="11"/>
      <color rgb="FF0000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5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7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88" fontId="19" fillId="10" borderId="30" xfId="0" applyNumberFormat="1" applyFont="1" applyFill="1" applyBorder="1" applyAlignment="1">
      <alignment horizontal="center" vertical="center"/>
    </xf>
    <xf numFmtId="188" fontId="18" fillId="0" borderId="32" xfId="0" applyNumberFormat="1" applyFont="1" applyBorder="1" applyAlignment="1">
      <alignment horizontal="center" vertical="center"/>
    </xf>
    <xf numFmtId="188" fontId="19" fillId="10" borderId="32" xfId="0" applyNumberFormat="1" applyFont="1" applyFill="1" applyBorder="1" applyAlignment="1">
      <alignment horizontal="center" vertical="center"/>
    </xf>
    <xf numFmtId="188" fontId="18" fillId="0" borderId="37" xfId="0" applyNumberFormat="1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188" fontId="18" fillId="0" borderId="30" xfId="0" applyNumberFormat="1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88" fontId="20" fillId="0" borderId="11" xfId="0" applyNumberFormat="1" applyFont="1" applyBorder="1" applyAlignment="1">
      <alignment horizontal="center" vertical="center"/>
    </xf>
    <xf numFmtId="188" fontId="20" fillId="0" borderId="7" xfId="0" applyNumberFormat="1" applyFont="1" applyBorder="1" applyAlignment="1">
      <alignment horizontal="center" vertical="center"/>
    </xf>
    <xf numFmtId="188" fontId="20" fillId="0" borderId="9" xfId="0" applyNumberFormat="1" applyFont="1" applyBorder="1" applyAlignment="1">
      <alignment horizontal="center" vertical="center"/>
    </xf>
    <xf numFmtId="188" fontId="21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3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5" fillId="6" borderId="5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Normal="100" workbookViewId="0">
      <selection activeCell="AL1" sqref="AL1:AO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8" t="s">
        <v>0</v>
      </c>
      <c r="B1" s="104"/>
      <c r="C1" s="105"/>
      <c r="D1" s="109"/>
      <c r="E1" s="107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9"/>
      <c r="T1" s="105"/>
      <c r="U1" s="105"/>
      <c r="V1" s="106"/>
      <c r="W1" s="106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86" t="s">
        <v>1</v>
      </c>
      <c r="AK1" s="180"/>
      <c r="AL1" s="179">
        <v>46287</v>
      </c>
      <c r="AM1" s="180"/>
      <c r="AN1" s="180"/>
      <c r="AO1" s="181"/>
    </row>
    <row r="2" spans="1:44" ht="15" customHeight="1" x14ac:dyDescent="0.2">
      <c r="A2" s="164" t="s">
        <v>2</v>
      </c>
      <c r="B2" s="165"/>
      <c r="C2" s="175" t="s">
        <v>3</v>
      </c>
      <c r="D2" s="171"/>
      <c r="E2" s="171"/>
      <c r="F2" s="171"/>
      <c r="G2" s="171"/>
      <c r="H2" s="171"/>
      <c r="I2" s="171"/>
      <c r="J2" s="171"/>
      <c r="K2" s="174"/>
      <c r="L2" s="178" t="s">
        <v>4</v>
      </c>
      <c r="M2" s="171"/>
      <c r="N2" s="171"/>
      <c r="O2" s="171"/>
      <c r="P2" s="171"/>
      <c r="Q2" s="174"/>
      <c r="R2" s="176">
        <f>AL1</f>
        <v>46287</v>
      </c>
      <c r="S2" s="171"/>
      <c r="T2" s="172"/>
      <c r="U2" s="2"/>
      <c r="V2" s="164" t="s">
        <v>2</v>
      </c>
      <c r="W2" s="165"/>
      <c r="X2" s="175" t="s">
        <v>5</v>
      </c>
      <c r="Y2" s="171"/>
      <c r="Z2" s="171"/>
      <c r="AA2" s="171"/>
      <c r="AB2" s="171"/>
      <c r="AC2" s="171"/>
      <c r="AD2" s="171"/>
      <c r="AE2" s="171"/>
      <c r="AF2" s="174"/>
      <c r="AG2" s="178" t="s">
        <v>6</v>
      </c>
      <c r="AH2" s="171"/>
      <c r="AI2" s="171"/>
      <c r="AJ2" s="171"/>
      <c r="AK2" s="171"/>
      <c r="AL2" s="174"/>
      <c r="AM2" s="176">
        <f>R2</f>
        <v>46287</v>
      </c>
      <c r="AN2" s="171"/>
      <c r="AO2" s="172"/>
    </row>
    <row r="3" spans="1:44" ht="15" customHeight="1" thickBot="1" x14ac:dyDescent="0.25">
      <c r="A3" s="166"/>
      <c r="B3" s="167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6"/>
      <c r="W3" s="167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2">
        <v>297</v>
      </c>
      <c r="D4" s="113"/>
      <c r="E4" s="113">
        <v>213</v>
      </c>
      <c r="F4" s="113">
        <v>10</v>
      </c>
      <c r="G4" s="113">
        <v>25</v>
      </c>
      <c r="H4" s="113"/>
      <c r="I4" s="113"/>
      <c r="J4" s="113"/>
      <c r="K4" s="114"/>
      <c r="L4" s="115">
        <v>4</v>
      </c>
      <c r="M4" s="116"/>
      <c r="N4" s="116">
        <v>27</v>
      </c>
      <c r="O4" s="116"/>
      <c r="P4" s="116"/>
      <c r="Q4" s="116"/>
      <c r="R4" s="116"/>
      <c r="S4" s="116"/>
      <c r="T4" s="117"/>
      <c r="V4" s="13" t="s">
        <v>18</v>
      </c>
      <c r="W4" s="14" t="s">
        <v>17</v>
      </c>
      <c r="X4" s="112">
        <v>129</v>
      </c>
      <c r="Y4" s="113"/>
      <c r="Z4" s="113">
        <v>157</v>
      </c>
      <c r="AA4" s="113">
        <v>1</v>
      </c>
      <c r="AB4" s="113">
        <v>9</v>
      </c>
      <c r="AC4" s="113"/>
      <c r="AD4" s="113"/>
      <c r="AE4" s="113"/>
      <c r="AF4" s="114"/>
      <c r="AG4" s="118">
        <v>56</v>
      </c>
      <c r="AH4" s="113"/>
      <c r="AI4" s="113">
        <v>75</v>
      </c>
      <c r="AJ4" s="113"/>
      <c r="AK4" s="113"/>
      <c r="AL4" s="113"/>
      <c r="AM4" s="113"/>
      <c r="AN4" s="113"/>
      <c r="AO4" s="119"/>
    </row>
    <row r="5" spans="1:44" s="15" customFormat="1" ht="15" customHeight="1" x14ac:dyDescent="0.2">
      <c r="A5" s="16" t="s">
        <v>19</v>
      </c>
      <c r="B5" s="17" t="s">
        <v>17</v>
      </c>
      <c r="C5" s="120">
        <v>92</v>
      </c>
      <c r="D5" s="121"/>
      <c r="E5" s="121">
        <v>58</v>
      </c>
      <c r="F5" s="121">
        <v>7</v>
      </c>
      <c r="G5" s="121">
        <v>13</v>
      </c>
      <c r="H5" s="121"/>
      <c r="I5" s="121"/>
      <c r="J5" s="121"/>
      <c r="K5" s="122"/>
      <c r="L5" s="123">
        <v>6</v>
      </c>
      <c r="M5" s="121"/>
      <c r="N5" s="121">
        <v>7</v>
      </c>
      <c r="O5" s="121"/>
      <c r="P5" s="121"/>
      <c r="Q5" s="121"/>
      <c r="R5" s="121"/>
      <c r="S5" s="121"/>
      <c r="T5" s="124"/>
      <c r="V5" s="16" t="s">
        <v>20</v>
      </c>
      <c r="W5" s="17" t="s">
        <v>17</v>
      </c>
      <c r="X5" s="120">
        <v>16</v>
      </c>
      <c r="Y5" s="121"/>
      <c r="Z5" s="121">
        <v>58</v>
      </c>
      <c r="AA5" s="121"/>
      <c r="AB5" s="121">
        <v>2</v>
      </c>
      <c r="AC5" s="121"/>
      <c r="AD5" s="121"/>
      <c r="AE5" s="121"/>
      <c r="AF5" s="122"/>
      <c r="AG5" s="123">
        <v>44</v>
      </c>
      <c r="AH5" s="121"/>
      <c r="AI5" s="121"/>
      <c r="AJ5" s="121"/>
      <c r="AK5" s="121"/>
      <c r="AL5" s="121"/>
      <c r="AM5" s="121"/>
      <c r="AN5" s="121"/>
      <c r="AO5" s="124"/>
    </row>
    <row r="6" spans="1:44" s="15" customFormat="1" ht="15" customHeight="1" x14ac:dyDescent="0.2">
      <c r="A6" s="16" t="s">
        <v>21</v>
      </c>
      <c r="B6" s="17" t="s">
        <v>22</v>
      </c>
      <c r="C6" s="120">
        <v>53</v>
      </c>
      <c r="D6" s="121"/>
      <c r="E6" s="121">
        <v>10</v>
      </c>
      <c r="F6" s="121"/>
      <c r="G6" s="121">
        <v>3</v>
      </c>
      <c r="H6" s="121"/>
      <c r="I6" s="121"/>
      <c r="J6" s="121"/>
      <c r="K6" s="122"/>
      <c r="L6" s="123"/>
      <c r="M6" s="121"/>
      <c r="N6" s="121">
        <v>14</v>
      </c>
      <c r="O6" s="121"/>
      <c r="P6" s="121"/>
      <c r="Q6" s="121"/>
      <c r="R6" s="121"/>
      <c r="S6" s="121"/>
      <c r="T6" s="124"/>
      <c r="V6" s="16" t="s">
        <v>23</v>
      </c>
      <c r="W6" s="17" t="s">
        <v>17</v>
      </c>
      <c r="X6" s="120">
        <v>36</v>
      </c>
      <c r="Y6" s="121"/>
      <c r="Z6" s="121">
        <v>10</v>
      </c>
      <c r="AA6" s="121"/>
      <c r="AB6" s="121">
        <v>3</v>
      </c>
      <c r="AC6" s="121"/>
      <c r="AD6" s="121"/>
      <c r="AE6" s="121"/>
      <c r="AF6" s="122"/>
      <c r="AG6" s="123"/>
      <c r="AH6" s="121"/>
      <c r="AI6" s="121"/>
      <c r="AJ6" s="121"/>
      <c r="AK6" s="121"/>
      <c r="AL6" s="121"/>
      <c r="AM6" s="121"/>
      <c r="AN6" s="121"/>
      <c r="AO6" s="124"/>
    </row>
    <row r="7" spans="1:44" s="24" customFormat="1" ht="15" customHeight="1" x14ac:dyDescent="0.2">
      <c r="A7" s="110" t="s">
        <v>24</v>
      </c>
      <c r="B7" s="111" t="s">
        <v>22</v>
      </c>
      <c r="C7" s="120">
        <v>1</v>
      </c>
      <c r="D7" s="121"/>
      <c r="E7" s="121"/>
      <c r="F7" s="121"/>
      <c r="G7" s="121"/>
      <c r="H7" s="121"/>
      <c r="I7" s="121"/>
      <c r="J7" s="121"/>
      <c r="K7" s="122"/>
      <c r="L7" s="123"/>
      <c r="M7" s="121"/>
      <c r="N7" s="121"/>
      <c r="O7" s="121"/>
      <c r="P7" s="121"/>
      <c r="Q7" s="121"/>
      <c r="R7" s="121"/>
      <c r="S7" s="121"/>
      <c r="T7" s="124"/>
      <c r="V7" s="16" t="s">
        <v>25</v>
      </c>
      <c r="W7" s="17" t="s">
        <v>17</v>
      </c>
      <c r="X7" s="120">
        <v>14</v>
      </c>
      <c r="Y7" s="121"/>
      <c r="Z7" s="121">
        <v>17</v>
      </c>
      <c r="AA7" s="121"/>
      <c r="AB7" s="121"/>
      <c r="AC7" s="121"/>
      <c r="AD7" s="121"/>
      <c r="AE7" s="121"/>
      <c r="AF7" s="122"/>
      <c r="AG7" s="123">
        <v>8</v>
      </c>
      <c r="AH7" s="121"/>
      <c r="AI7" s="121"/>
      <c r="AJ7" s="121"/>
      <c r="AK7" s="121"/>
      <c r="AL7" s="121"/>
      <c r="AM7" s="121"/>
      <c r="AN7" s="121"/>
      <c r="AO7" s="124"/>
    </row>
    <row r="8" spans="1:44" ht="15" customHeight="1" x14ac:dyDescent="0.2">
      <c r="A8" s="25" t="s">
        <v>26</v>
      </c>
      <c r="B8" s="26" t="s">
        <v>27</v>
      </c>
      <c r="C8" s="125"/>
      <c r="D8" s="126"/>
      <c r="E8" s="126"/>
      <c r="F8" s="126"/>
      <c r="G8" s="126"/>
      <c r="H8" s="126"/>
      <c r="I8" s="126"/>
      <c r="J8" s="126"/>
      <c r="K8" s="127"/>
      <c r="L8" s="128">
        <v>660</v>
      </c>
      <c r="M8" s="129"/>
      <c r="N8" s="129">
        <v>776</v>
      </c>
      <c r="O8" s="129"/>
      <c r="P8" s="129"/>
      <c r="Q8" s="129"/>
      <c r="R8" s="129"/>
      <c r="S8" s="129"/>
      <c r="T8" s="130"/>
      <c r="V8" s="25" t="s">
        <v>28</v>
      </c>
      <c r="W8" s="26" t="s">
        <v>27</v>
      </c>
      <c r="X8" s="125"/>
      <c r="Y8" s="126"/>
      <c r="Z8" s="126"/>
      <c r="AA8" s="126"/>
      <c r="AB8" s="126"/>
      <c r="AC8" s="126"/>
      <c r="AD8" s="126"/>
      <c r="AE8" s="126"/>
      <c r="AF8" s="127"/>
      <c r="AG8" s="128">
        <v>881</v>
      </c>
      <c r="AH8" s="129"/>
      <c r="AI8" s="129">
        <v>174</v>
      </c>
      <c r="AJ8" s="129">
        <v>6</v>
      </c>
      <c r="AK8" s="129">
        <v>38</v>
      </c>
      <c r="AL8" s="129"/>
      <c r="AM8" s="129"/>
      <c r="AN8" s="129"/>
      <c r="AO8" s="130"/>
    </row>
    <row r="9" spans="1:44" ht="15" customHeight="1" x14ac:dyDescent="0.2">
      <c r="A9" s="25" t="s">
        <v>29</v>
      </c>
      <c r="B9" s="26" t="s">
        <v>27</v>
      </c>
      <c r="C9" s="125"/>
      <c r="D9" s="126"/>
      <c r="E9" s="126"/>
      <c r="F9" s="126"/>
      <c r="G9" s="126"/>
      <c r="H9" s="126"/>
      <c r="I9" s="126"/>
      <c r="J9" s="126"/>
      <c r="K9" s="127"/>
      <c r="L9" s="128">
        <v>671</v>
      </c>
      <c r="M9" s="129">
        <v>5</v>
      </c>
      <c r="N9" s="129">
        <v>638</v>
      </c>
      <c r="O9" s="129">
        <v>25</v>
      </c>
      <c r="P9" s="129">
        <v>18</v>
      </c>
      <c r="Q9" s="129"/>
      <c r="R9" s="129"/>
      <c r="S9" s="129"/>
      <c r="T9" s="130"/>
      <c r="V9" s="25" t="s">
        <v>30</v>
      </c>
      <c r="W9" s="26" t="s">
        <v>27</v>
      </c>
      <c r="X9" s="125"/>
      <c r="Y9" s="126"/>
      <c r="Z9" s="126"/>
      <c r="AA9" s="126"/>
      <c r="AB9" s="126"/>
      <c r="AC9" s="126"/>
      <c r="AD9" s="126"/>
      <c r="AE9" s="126"/>
      <c r="AF9" s="127"/>
      <c r="AG9" s="128">
        <v>43</v>
      </c>
      <c r="AH9" s="129"/>
      <c r="AI9" s="129">
        <v>32</v>
      </c>
      <c r="AJ9" s="129"/>
      <c r="AK9" s="129"/>
      <c r="AL9" s="129"/>
      <c r="AM9" s="129"/>
      <c r="AN9" s="129"/>
      <c r="AO9" s="130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5"/>
      <c r="Y10" s="126"/>
      <c r="Z10" s="126"/>
      <c r="AA10" s="126"/>
      <c r="AB10" s="126"/>
      <c r="AC10" s="126"/>
      <c r="AD10" s="126"/>
      <c r="AE10" s="126"/>
      <c r="AF10" s="127"/>
      <c r="AG10" s="128">
        <v>1083</v>
      </c>
      <c r="AH10" s="129">
        <v>2</v>
      </c>
      <c r="AI10" s="129">
        <v>681</v>
      </c>
      <c r="AJ10" s="129"/>
      <c r="AK10" s="129"/>
      <c r="AL10" s="129"/>
      <c r="AM10" s="129">
        <v>2</v>
      </c>
      <c r="AN10" s="129">
        <v>3</v>
      </c>
      <c r="AO10" s="130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70</v>
      </c>
      <c r="AH14" s="41"/>
      <c r="AI14" s="41">
        <v>40</v>
      </c>
      <c r="AJ14" s="41"/>
      <c r="AK14" s="41"/>
      <c r="AL14" s="41">
        <v>1</v>
      </c>
      <c r="AM14" s="41"/>
      <c r="AN14" s="41"/>
      <c r="AO14" s="42"/>
    </row>
    <row r="15" spans="1:44" ht="15" customHeight="1" thickBot="1" x14ac:dyDescent="0.25">
      <c r="A15" s="162" t="s">
        <v>35</v>
      </c>
      <c r="B15" s="163"/>
      <c r="C15" s="44">
        <f t="shared" ref="C15:T15" si="0">SUM(C4:C14)</f>
        <v>443</v>
      </c>
      <c r="D15" s="45">
        <f t="shared" si="0"/>
        <v>0</v>
      </c>
      <c r="E15" s="45">
        <f t="shared" si="0"/>
        <v>281</v>
      </c>
      <c r="F15" s="45">
        <f t="shared" si="0"/>
        <v>17</v>
      </c>
      <c r="G15" s="45">
        <f t="shared" si="0"/>
        <v>41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1341</v>
      </c>
      <c r="M15" s="48">
        <f t="shared" si="0"/>
        <v>5</v>
      </c>
      <c r="N15" s="48">
        <f t="shared" si="0"/>
        <v>1462</v>
      </c>
      <c r="O15" s="48">
        <f t="shared" si="0"/>
        <v>25</v>
      </c>
      <c r="P15" s="48">
        <f t="shared" si="0"/>
        <v>18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2" t="s">
        <v>36</v>
      </c>
      <c r="W15" s="163"/>
      <c r="X15" s="44">
        <f t="shared" ref="X15:AF15" si="1">SUM(X4:X14)</f>
        <v>195</v>
      </c>
      <c r="Y15" s="45">
        <f t="shared" si="1"/>
        <v>0</v>
      </c>
      <c r="Z15" s="45">
        <f t="shared" si="1"/>
        <v>242</v>
      </c>
      <c r="AA15" s="45">
        <f t="shared" si="1"/>
        <v>1</v>
      </c>
      <c r="AB15" s="45">
        <f t="shared" si="1"/>
        <v>14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2115</v>
      </c>
      <c r="AH15" s="48">
        <f t="shared" si="2"/>
        <v>2</v>
      </c>
      <c r="AI15" s="48">
        <f t="shared" si="2"/>
        <v>962</v>
      </c>
      <c r="AJ15" s="48">
        <f t="shared" si="2"/>
        <v>6</v>
      </c>
      <c r="AK15" s="48">
        <f t="shared" si="2"/>
        <v>38</v>
      </c>
      <c r="AL15" s="48">
        <f t="shared" si="2"/>
        <v>0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3" t="s">
        <v>2</v>
      </c>
      <c r="B17" s="52"/>
      <c r="C17" s="173"/>
      <c r="D17" s="171"/>
      <c r="E17" s="171"/>
      <c r="F17" s="171"/>
      <c r="G17" s="171"/>
      <c r="H17" s="171"/>
      <c r="I17" s="171"/>
      <c r="J17" s="171"/>
      <c r="K17" s="174"/>
      <c r="L17" s="177" t="s">
        <v>37</v>
      </c>
      <c r="M17" s="171"/>
      <c r="N17" s="171"/>
      <c r="O17" s="171"/>
      <c r="P17" s="171"/>
      <c r="Q17" s="171"/>
      <c r="R17" s="171"/>
      <c r="S17" s="171"/>
      <c r="T17" s="174"/>
      <c r="V17" s="183" t="s">
        <v>2</v>
      </c>
      <c r="W17" s="52"/>
      <c r="X17" s="173"/>
      <c r="Y17" s="171"/>
      <c r="Z17" s="171"/>
      <c r="AA17" s="171"/>
      <c r="AB17" s="171"/>
      <c r="AC17" s="171"/>
      <c r="AD17" s="171"/>
      <c r="AE17" s="171"/>
      <c r="AF17" s="174"/>
      <c r="AG17" s="177" t="s">
        <v>37</v>
      </c>
      <c r="AH17" s="171"/>
      <c r="AI17" s="171"/>
      <c r="AJ17" s="171"/>
      <c r="AK17" s="171"/>
      <c r="AL17" s="171"/>
      <c r="AM17" s="171"/>
      <c r="AN17" s="171"/>
      <c r="AO17" s="174"/>
    </row>
    <row r="18" spans="1:41" ht="12.75" hidden="1" customHeight="1" x14ac:dyDescent="0.2">
      <c r="A18" s="184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4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4" t="s">
        <v>2</v>
      </c>
      <c r="B29" s="165"/>
      <c r="C29" s="173" t="s">
        <v>39</v>
      </c>
      <c r="D29" s="171"/>
      <c r="E29" s="171"/>
      <c r="F29" s="171"/>
      <c r="G29" s="171"/>
      <c r="H29" s="174"/>
      <c r="I29" s="185" t="s">
        <v>40</v>
      </c>
      <c r="J29" s="171"/>
      <c r="K29" s="172"/>
      <c r="L29" s="178" t="s">
        <v>41</v>
      </c>
      <c r="M29" s="171"/>
      <c r="N29" s="171"/>
      <c r="O29" s="171"/>
      <c r="P29" s="171"/>
      <c r="Q29" s="171"/>
      <c r="R29" s="171"/>
      <c r="S29" s="171"/>
      <c r="T29" s="174"/>
      <c r="U29" s="2"/>
      <c r="V29" s="164" t="s">
        <v>2</v>
      </c>
      <c r="W29" s="165"/>
      <c r="X29" s="173" t="s">
        <v>42</v>
      </c>
      <c r="Y29" s="171"/>
      <c r="Z29" s="171"/>
      <c r="AA29" s="171"/>
      <c r="AB29" s="171"/>
      <c r="AC29" s="174"/>
      <c r="AD29" s="185" t="s">
        <v>40</v>
      </c>
      <c r="AE29" s="171"/>
      <c r="AF29" s="172"/>
      <c r="AG29" s="178" t="s">
        <v>43</v>
      </c>
      <c r="AH29" s="171"/>
      <c r="AI29" s="171"/>
      <c r="AJ29" s="171"/>
      <c r="AK29" s="171"/>
      <c r="AL29" s="171"/>
      <c r="AM29" s="171"/>
      <c r="AN29" s="171"/>
      <c r="AO29" s="174"/>
    </row>
    <row r="30" spans="1:41" ht="15" customHeight="1" thickBot="1" x14ac:dyDescent="0.25">
      <c r="A30" s="166"/>
      <c r="B30" s="167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6"/>
      <c r="W30" s="167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2">
        <v>14</v>
      </c>
      <c r="D31" s="113"/>
      <c r="E31" s="113">
        <v>28</v>
      </c>
      <c r="F31" s="113"/>
      <c r="G31" s="113"/>
      <c r="H31" s="113"/>
      <c r="I31" s="113"/>
      <c r="J31" s="113"/>
      <c r="K31" s="114"/>
      <c r="L31" s="131">
        <f t="shared" ref="L31:L40" si="3">SUM(L4-C31)</f>
        <v>-10</v>
      </c>
      <c r="M31" s="132">
        <f t="shared" ref="M31:M40" si="4">SUM(M4-D31)</f>
        <v>0</v>
      </c>
      <c r="N31" s="133">
        <f t="shared" ref="N31:N40" si="5">SUM(N4-E31)</f>
        <v>-1</v>
      </c>
      <c r="O31" s="132">
        <f t="shared" ref="O31:O40" si="6">SUM(O4-F31)</f>
        <v>0</v>
      </c>
      <c r="P31" s="132">
        <f t="shared" ref="P31:P40" si="7">SUM(P4-G31)</f>
        <v>0</v>
      </c>
      <c r="Q31" s="132">
        <f t="shared" ref="Q31:Q40" si="8">SUM(Q4-H31)</f>
        <v>0</v>
      </c>
      <c r="R31" s="132">
        <f t="shared" ref="R31:R40" si="9">SUM(R4-I31)</f>
        <v>0</v>
      </c>
      <c r="S31" s="132">
        <f t="shared" ref="S31:S40" si="10">SUM(S4-J31)</f>
        <v>0</v>
      </c>
      <c r="T31" s="134">
        <f t="shared" ref="T31:T40" si="11">SUM(T4-K31)</f>
        <v>0</v>
      </c>
      <c r="V31" s="13" t="s">
        <v>18</v>
      </c>
      <c r="W31" s="14" t="s">
        <v>17</v>
      </c>
      <c r="X31" s="135"/>
      <c r="Y31" s="136"/>
      <c r="Z31" s="136"/>
      <c r="AA31" s="136"/>
      <c r="AB31" s="136"/>
      <c r="AC31" s="136"/>
      <c r="AD31" s="136"/>
      <c r="AE31" s="136"/>
      <c r="AF31" s="137"/>
      <c r="AG31" s="138">
        <f t="shared" ref="AG31:AG40" si="12">SUM(AG4-X31)</f>
        <v>56</v>
      </c>
      <c r="AH31" s="132">
        <f t="shared" ref="AH31:AH40" si="13">SUM(AH4-Y31)</f>
        <v>0</v>
      </c>
      <c r="AI31" s="132">
        <f t="shared" ref="AI31:AI40" si="14">SUM(AI4-Z31)</f>
        <v>75</v>
      </c>
      <c r="AJ31" s="132">
        <f t="shared" ref="AJ31:AJ40" si="15">SUM(AJ4-AA31)</f>
        <v>0</v>
      </c>
      <c r="AK31" s="132">
        <f t="shared" ref="AK31:AK40" si="16">SUM(AK4-AB31)</f>
        <v>0</v>
      </c>
      <c r="AL31" s="132">
        <f t="shared" ref="AL31:AL40" si="17">SUM(AL4-AC31)</f>
        <v>0</v>
      </c>
      <c r="AM31" s="132">
        <f t="shared" ref="AM31:AM40" si="18">SUM(AM4-AD31)</f>
        <v>0</v>
      </c>
      <c r="AN31" s="132">
        <f t="shared" ref="AN31:AN40" si="19">SUM(AN4-AE31)</f>
        <v>0</v>
      </c>
      <c r="AO31" s="134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20"/>
      <c r="D32" s="121"/>
      <c r="E32" s="121">
        <v>1</v>
      </c>
      <c r="F32" s="121"/>
      <c r="G32" s="121"/>
      <c r="H32" s="121"/>
      <c r="I32" s="121"/>
      <c r="J32" s="121"/>
      <c r="K32" s="122"/>
      <c r="L32" s="139">
        <f t="shared" si="3"/>
        <v>6</v>
      </c>
      <c r="M32" s="140">
        <f t="shared" si="4"/>
        <v>0</v>
      </c>
      <c r="N32" s="140">
        <f t="shared" si="5"/>
        <v>6</v>
      </c>
      <c r="O32" s="140">
        <f t="shared" si="6"/>
        <v>0</v>
      </c>
      <c r="P32" s="140">
        <f t="shared" si="7"/>
        <v>0</v>
      </c>
      <c r="Q32" s="140">
        <f t="shared" si="8"/>
        <v>0</v>
      </c>
      <c r="R32" s="140">
        <f t="shared" si="9"/>
        <v>0</v>
      </c>
      <c r="S32" s="140">
        <f t="shared" si="10"/>
        <v>0</v>
      </c>
      <c r="T32" s="141">
        <f t="shared" si="11"/>
        <v>0</v>
      </c>
      <c r="V32" s="16" t="s">
        <v>20</v>
      </c>
      <c r="W32" s="17" t="s">
        <v>17</v>
      </c>
      <c r="X32" s="142"/>
      <c r="Y32" s="143"/>
      <c r="Z32" s="143"/>
      <c r="AA32" s="143"/>
      <c r="AB32" s="143"/>
      <c r="AC32" s="143"/>
      <c r="AD32" s="143"/>
      <c r="AE32" s="143"/>
      <c r="AF32" s="144"/>
      <c r="AG32" s="139">
        <f t="shared" si="12"/>
        <v>44</v>
      </c>
      <c r="AH32" s="140">
        <f t="shared" si="13"/>
        <v>0</v>
      </c>
      <c r="AI32" s="140">
        <f t="shared" si="14"/>
        <v>0</v>
      </c>
      <c r="AJ32" s="140">
        <f t="shared" si="15"/>
        <v>0</v>
      </c>
      <c r="AK32" s="140">
        <f t="shared" si="16"/>
        <v>0</v>
      </c>
      <c r="AL32" s="140">
        <f t="shared" si="17"/>
        <v>0</v>
      </c>
      <c r="AM32" s="140">
        <f t="shared" si="18"/>
        <v>0</v>
      </c>
      <c r="AN32" s="140">
        <f t="shared" si="19"/>
        <v>0</v>
      </c>
      <c r="AO32" s="141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20"/>
      <c r="D33" s="121"/>
      <c r="E33" s="121"/>
      <c r="F33" s="121"/>
      <c r="G33" s="121"/>
      <c r="H33" s="121"/>
      <c r="I33" s="121"/>
      <c r="J33" s="121"/>
      <c r="K33" s="122"/>
      <c r="L33" s="139">
        <f t="shared" si="3"/>
        <v>0</v>
      </c>
      <c r="M33" s="140">
        <f t="shared" si="4"/>
        <v>0</v>
      </c>
      <c r="N33" s="140">
        <f t="shared" si="5"/>
        <v>14</v>
      </c>
      <c r="O33" s="140">
        <f t="shared" si="6"/>
        <v>0</v>
      </c>
      <c r="P33" s="140">
        <f t="shared" si="7"/>
        <v>0</v>
      </c>
      <c r="Q33" s="140">
        <f t="shared" si="8"/>
        <v>0</v>
      </c>
      <c r="R33" s="140">
        <f t="shared" si="9"/>
        <v>0</v>
      </c>
      <c r="S33" s="140">
        <f t="shared" si="10"/>
        <v>0</v>
      </c>
      <c r="T33" s="141">
        <f t="shared" si="11"/>
        <v>0</v>
      </c>
      <c r="V33" s="16" t="s">
        <v>23</v>
      </c>
      <c r="W33" s="17" t="s">
        <v>17</v>
      </c>
      <c r="X33" s="142"/>
      <c r="Y33" s="143"/>
      <c r="Z33" s="143"/>
      <c r="AA33" s="143"/>
      <c r="AB33" s="143"/>
      <c r="AC33" s="143"/>
      <c r="AD33" s="143"/>
      <c r="AE33" s="143"/>
      <c r="AF33" s="144"/>
      <c r="AG33" s="139">
        <f t="shared" si="12"/>
        <v>0</v>
      </c>
      <c r="AH33" s="140">
        <f t="shared" si="13"/>
        <v>0</v>
      </c>
      <c r="AI33" s="140">
        <f t="shared" si="14"/>
        <v>0</v>
      </c>
      <c r="AJ33" s="140">
        <f t="shared" si="15"/>
        <v>0</v>
      </c>
      <c r="AK33" s="140">
        <f t="shared" si="16"/>
        <v>0</v>
      </c>
      <c r="AL33" s="140">
        <f t="shared" si="17"/>
        <v>0</v>
      </c>
      <c r="AM33" s="140">
        <f t="shared" si="18"/>
        <v>0</v>
      </c>
      <c r="AN33" s="140">
        <f t="shared" si="19"/>
        <v>0</v>
      </c>
      <c r="AO33" s="141">
        <f t="shared" si="20"/>
        <v>0</v>
      </c>
    </row>
    <row r="34" spans="1:45" ht="15" customHeight="1" x14ac:dyDescent="0.2">
      <c r="A34" s="110" t="s">
        <v>24</v>
      </c>
      <c r="B34" s="111" t="s">
        <v>22</v>
      </c>
      <c r="C34" s="142"/>
      <c r="D34" s="143"/>
      <c r="E34" s="143"/>
      <c r="F34" s="143"/>
      <c r="G34" s="143"/>
      <c r="H34" s="143"/>
      <c r="I34" s="143"/>
      <c r="J34" s="143"/>
      <c r="K34" s="144"/>
      <c r="L34" s="139">
        <f t="shared" si="3"/>
        <v>0</v>
      </c>
      <c r="M34" s="140">
        <f t="shared" si="4"/>
        <v>0</v>
      </c>
      <c r="N34" s="140">
        <f t="shared" si="5"/>
        <v>0</v>
      </c>
      <c r="O34" s="140">
        <f t="shared" si="6"/>
        <v>0</v>
      </c>
      <c r="P34" s="140">
        <f t="shared" si="7"/>
        <v>0</v>
      </c>
      <c r="Q34" s="140">
        <f t="shared" si="8"/>
        <v>0</v>
      </c>
      <c r="R34" s="140">
        <f t="shared" si="9"/>
        <v>0</v>
      </c>
      <c r="S34" s="140">
        <f t="shared" si="10"/>
        <v>0</v>
      </c>
      <c r="T34" s="141">
        <f t="shared" si="11"/>
        <v>0</v>
      </c>
      <c r="V34" s="16" t="s">
        <v>25</v>
      </c>
      <c r="W34" s="17" t="s">
        <v>17</v>
      </c>
      <c r="X34" s="142"/>
      <c r="Y34" s="143"/>
      <c r="Z34" s="143"/>
      <c r="AA34" s="143"/>
      <c r="AB34" s="143"/>
      <c r="AC34" s="143"/>
      <c r="AD34" s="143"/>
      <c r="AE34" s="143"/>
      <c r="AF34" s="144"/>
      <c r="AG34" s="139">
        <f t="shared" si="12"/>
        <v>8</v>
      </c>
      <c r="AH34" s="140">
        <f t="shared" si="13"/>
        <v>0</v>
      </c>
      <c r="AI34" s="140">
        <f t="shared" si="14"/>
        <v>0</v>
      </c>
      <c r="AJ34" s="140">
        <f t="shared" si="15"/>
        <v>0</v>
      </c>
      <c r="AK34" s="140">
        <f t="shared" si="16"/>
        <v>0</v>
      </c>
      <c r="AL34" s="140">
        <f t="shared" si="17"/>
        <v>0</v>
      </c>
      <c r="AM34" s="140">
        <f t="shared" si="18"/>
        <v>0</v>
      </c>
      <c r="AN34" s="140">
        <f t="shared" si="19"/>
        <v>0</v>
      </c>
      <c r="AO34" s="141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5">
        <v>119</v>
      </c>
      <c r="D35" s="129"/>
      <c r="E35" s="129">
        <v>113</v>
      </c>
      <c r="F35" s="129"/>
      <c r="G35" s="129"/>
      <c r="H35" s="129"/>
      <c r="I35" s="129"/>
      <c r="J35" s="129"/>
      <c r="K35" s="146"/>
      <c r="L35" s="147">
        <f t="shared" si="3"/>
        <v>541</v>
      </c>
      <c r="M35" s="148">
        <f t="shared" si="4"/>
        <v>0</v>
      </c>
      <c r="N35" s="148">
        <f t="shared" si="5"/>
        <v>663</v>
      </c>
      <c r="O35" s="148">
        <f t="shared" si="6"/>
        <v>0</v>
      </c>
      <c r="P35" s="148">
        <f t="shared" si="7"/>
        <v>0</v>
      </c>
      <c r="Q35" s="148">
        <f t="shared" si="8"/>
        <v>0</v>
      </c>
      <c r="R35" s="148">
        <f t="shared" si="9"/>
        <v>0</v>
      </c>
      <c r="S35" s="148">
        <f t="shared" si="10"/>
        <v>0</v>
      </c>
      <c r="T35" s="149">
        <f t="shared" si="11"/>
        <v>0</v>
      </c>
      <c r="V35" s="25" t="s">
        <v>28</v>
      </c>
      <c r="W35" s="26" t="s">
        <v>27</v>
      </c>
      <c r="X35" s="145">
        <v>107</v>
      </c>
      <c r="Y35" s="129"/>
      <c r="Z35" s="129">
        <v>76</v>
      </c>
      <c r="AA35" s="129"/>
      <c r="AB35" s="129">
        <v>21</v>
      </c>
      <c r="AC35" s="129"/>
      <c r="AD35" s="129"/>
      <c r="AE35" s="129"/>
      <c r="AF35" s="146"/>
      <c r="AG35" s="147">
        <f t="shared" si="12"/>
        <v>774</v>
      </c>
      <c r="AH35" s="148">
        <f t="shared" si="13"/>
        <v>0</v>
      </c>
      <c r="AI35" s="148">
        <f t="shared" si="14"/>
        <v>98</v>
      </c>
      <c r="AJ35" s="148">
        <f t="shared" si="15"/>
        <v>6</v>
      </c>
      <c r="AK35" s="148">
        <f t="shared" si="16"/>
        <v>17</v>
      </c>
      <c r="AL35" s="148">
        <f t="shared" si="17"/>
        <v>0</v>
      </c>
      <c r="AM35" s="148">
        <f t="shared" si="18"/>
        <v>0</v>
      </c>
      <c r="AN35" s="148">
        <f t="shared" si="19"/>
        <v>0</v>
      </c>
      <c r="AO35" s="149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5">
        <v>141</v>
      </c>
      <c r="D36" s="129">
        <v>1</v>
      </c>
      <c r="E36" s="129">
        <v>84</v>
      </c>
      <c r="F36" s="129">
        <v>5</v>
      </c>
      <c r="G36" s="129">
        <v>29</v>
      </c>
      <c r="H36" s="129"/>
      <c r="I36" s="129"/>
      <c r="J36" s="129"/>
      <c r="K36" s="146"/>
      <c r="L36" s="147">
        <f t="shared" si="3"/>
        <v>530</v>
      </c>
      <c r="M36" s="148">
        <f t="shared" si="4"/>
        <v>4</v>
      </c>
      <c r="N36" s="148">
        <f t="shared" si="5"/>
        <v>554</v>
      </c>
      <c r="O36" s="148">
        <f t="shared" si="6"/>
        <v>20</v>
      </c>
      <c r="P36" s="150">
        <f t="shared" si="7"/>
        <v>-11</v>
      </c>
      <c r="Q36" s="148">
        <f t="shared" si="8"/>
        <v>0</v>
      </c>
      <c r="R36" s="148">
        <f t="shared" si="9"/>
        <v>0</v>
      </c>
      <c r="S36" s="148">
        <f t="shared" si="10"/>
        <v>0</v>
      </c>
      <c r="T36" s="149">
        <f t="shared" si="11"/>
        <v>0</v>
      </c>
      <c r="V36" s="25" t="s">
        <v>30</v>
      </c>
      <c r="W36" s="26" t="s">
        <v>27</v>
      </c>
      <c r="X36" s="145">
        <v>11</v>
      </c>
      <c r="Y36" s="129"/>
      <c r="Z36" s="129">
        <v>11</v>
      </c>
      <c r="AA36" s="129"/>
      <c r="AB36" s="129"/>
      <c r="AC36" s="129"/>
      <c r="AD36" s="129"/>
      <c r="AE36" s="129"/>
      <c r="AF36" s="146"/>
      <c r="AG36" s="147">
        <f t="shared" si="12"/>
        <v>32</v>
      </c>
      <c r="AH36" s="148">
        <f t="shared" si="13"/>
        <v>0</v>
      </c>
      <c r="AI36" s="148">
        <f t="shared" si="14"/>
        <v>21</v>
      </c>
      <c r="AJ36" s="148">
        <f t="shared" si="15"/>
        <v>0</v>
      </c>
      <c r="AK36" s="148">
        <f t="shared" si="16"/>
        <v>0</v>
      </c>
      <c r="AL36" s="148">
        <f t="shared" si="17"/>
        <v>0</v>
      </c>
      <c r="AM36" s="148">
        <f t="shared" si="18"/>
        <v>0</v>
      </c>
      <c r="AN36" s="148">
        <f t="shared" si="19"/>
        <v>0</v>
      </c>
      <c r="AO36" s="149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51">
        <f t="shared" si="3"/>
        <v>0</v>
      </c>
      <c r="M37" s="152">
        <f t="shared" si="4"/>
        <v>0</v>
      </c>
      <c r="N37" s="152">
        <f t="shared" si="5"/>
        <v>0</v>
      </c>
      <c r="O37" s="152">
        <f t="shared" si="6"/>
        <v>0</v>
      </c>
      <c r="P37" s="152">
        <f t="shared" si="7"/>
        <v>0</v>
      </c>
      <c r="Q37" s="152">
        <f t="shared" si="8"/>
        <v>0</v>
      </c>
      <c r="R37" s="152">
        <f t="shared" si="9"/>
        <v>0</v>
      </c>
      <c r="S37" s="152">
        <f t="shared" si="10"/>
        <v>0</v>
      </c>
      <c r="T37" s="153">
        <f t="shared" si="11"/>
        <v>0</v>
      </c>
      <c r="V37" s="25" t="s">
        <v>31</v>
      </c>
      <c r="W37" s="26" t="s">
        <v>27</v>
      </c>
      <c r="X37" s="145">
        <v>211</v>
      </c>
      <c r="Y37" s="129"/>
      <c r="Z37" s="129">
        <v>211</v>
      </c>
      <c r="AA37" s="129"/>
      <c r="AB37" s="129"/>
      <c r="AC37" s="129"/>
      <c r="AD37" s="129">
        <v>2</v>
      </c>
      <c r="AE37" s="129">
        <v>3</v>
      </c>
      <c r="AF37" s="146">
        <v>1</v>
      </c>
      <c r="AG37" s="147">
        <f t="shared" si="12"/>
        <v>872</v>
      </c>
      <c r="AH37" s="148">
        <f t="shared" si="13"/>
        <v>2</v>
      </c>
      <c r="AI37" s="148">
        <f t="shared" si="14"/>
        <v>470</v>
      </c>
      <c r="AJ37" s="148">
        <f t="shared" si="15"/>
        <v>0</v>
      </c>
      <c r="AK37" s="148">
        <f t="shared" si="16"/>
        <v>0</v>
      </c>
      <c r="AL37" s="148">
        <f t="shared" si="17"/>
        <v>0</v>
      </c>
      <c r="AM37" s="148">
        <f t="shared" si="18"/>
        <v>0</v>
      </c>
      <c r="AN37" s="148">
        <f t="shared" si="19"/>
        <v>0</v>
      </c>
      <c r="AO37" s="149">
        <f t="shared" si="20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51">
        <f t="shared" si="3"/>
        <v>0</v>
      </c>
      <c r="M38" s="152">
        <f t="shared" si="4"/>
        <v>0</v>
      </c>
      <c r="N38" s="152">
        <f t="shared" si="5"/>
        <v>0</v>
      </c>
      <c r="O38" s="152">
        <f t="shared" si="6"/>
        <v>0</v>
      </c>
      <c r="P38" s="152">
        <f t="shared" si="7"/>
        <v>0</v>
      </c>
      <c r="Q38" s="152">
        <f t="shared" si="8"/>
        <v>0</v>
      </c>
      <c r="R38" s="152">
        <f t="shared" si="9"/>
        <v>0</v>
      </c>
      <c r="S38" s="152">
        <f t="shared" si="10"/>
        <v>0</v>
      </c>
      <c r="T38" s="153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51">
        <f t="shared" si="12"/>
        <v>0</v>
      </c>
      <c r="AH38" s="152">
        <f t="shared" si="13"/>
        <v>0</v>
      </c>
      <c r="AI38" s="152">
        <f t="shared" si="14"/>
        <v>0</v>
      </c>
      <c r="AJ38" s="152">
        <f t="shared" si="15"/>
        <v>0</v>
      </c>
      <c r="AK38" s="152">
        <f t="shared" si="16"/>
        <v>0</v>
      </c>
      <c r="AL38" s="152">
        <f t="shared" si="17"/>
        <v>0</v>
      </c>
      <c r="AM38" s="152">
        <f t="shared" si="18"/>
        <v>0</v>
      </c>
      <c r="AN38" s="152">
        <f t="shared" si="19"/>
        <v>0</v>
      </c>
      <c r="AO38" s="153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51">
        <f t="shared" si="3"/>
        <v>0</v>
      </c>
      <c r="M39" s="152">
        <f t="shared" si="4"/>
        <v>0</v>
      </c>
      <c r="N39" s="152">
        <f t="shared" si="5"/>
        <v>0</v>
      </c>
      <c r="O39" s="152">
        <f t="shared" si="6"/>
        <v>0</v>
      </c>
      <c r="P39" s="152">
        <f t="shared" si="7"/>
        <v>0</v>
      </c>
      <c r="Q39" s="152">
        <f t="shared" si="8"/>
        <v>0</v>
      </c>
      <c r="R39" s="152">
        <f t="shared" si="9"/>
        <v>0</v>
      </c>
      <c r="S39" s="152">
        <f t="shared" si="10"/>
        <v>0</v>
      </c>
      <c r="T39" s="153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51">
        <f t="shared" si="12"/>
        <v>0</v>
      </c>
      <c r="AH39" s="152">
        <f t="shared" si="13"/>
        <v>0</v>
      </c>
      <c r="AI39" s="152">
        <f t="shared" si="14"/>
        <v>0</v>
      </c>
      <c r="AJ39" s="152">
        <f t="shared" si="15"/>
        <v>0</v>
      </c>
      <c r="AK39" s="152">
        <f t="shared" si="16"/>
        <v>0</v>
      </c>
      <c r="AL39" s="152">
        <f t="shared" si="17"/>
        <v>0</v>
      </c>
      <c r="AM39" s="152">
        <f t="shared" si="18"/>
        <v>0</v>
      </c>
      <c r="AN39" s="152">
        <f t="shared" si="19"/>
        <v>0</v>
      </c>
      <c r="AO39" s="153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4">
        <f t="shared" si="3"/>
        <v>0</v>
      </c>
      <c r="M40" s="155">
        <f t="shared" si="4"/>
        <v>0</v>
      </c>
      <c r="N40" s="155">
        <f t="shared" si="5"/>
        <v>0</v>
      </c>
      <c r="O40" s="155">
        <f t="shared" si="6"/>
        <v>0</v>
      </c>
      <c r="P40" s="155">
        <f t="shared" si="7"/>
        <v>0</v>
      </c>
      <c r="Q40" s="155">
        <f t="shared" si="8"/>
        <v>0</v>
      </c>
      <c r="R40" s="155">
        <f t="shared" si="9"/>
        <v>0</v>
      </c>
      <c r="S40" s="155">
        <f t="shared" si="10"/>
        <v>0</v>
      </c>
      <c r="T40" s="156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51">
        <f t="shared" si="12"/>
        <v>0</v>
      </c>
      <c r="AH40" s="152">
        <f t="shared" si="13"/>
        <v>0</v>
      </c>
      <c r="AI40" s="152">
        <f t="shared" si="14"/>
        <v>0</v>
      </c>
      <c r="AJ40" s="152">
        <f t="shared" si="15"/>
        <v>0</v>
      </c>
      <c r="AK40" s="152">
        <f t="shared" si="16"/>
        <v>0</v>
      </c>
      <c r="AL40" s="152">
        <f t="shared" si="17"/>
        <v>0</v>
      </c>
      <c r="AM40" s="152">
        <f t="shared" si="18"/>
        <v>0</v>
      </c>
      <c r="AN40" s="152">
        <f t="shared" si="19"/>
        <v>0</v>
      </c>
      <c r="AO40" s="153">
        <f t="shared" si="20"/>
        <v>0</v>
      </c>
    </row>
    <row r="41" spans="1:45" ht="15" customHeight="1" thickBot="1" x14ac:dyDescent="0.25">
      <c r="A41" s="162"/>
      <c r="B41" s="163"/>
      <c r="C41" s="60">
        <f t="shared" ref="C41:T41" si="21">SUM(C31:C40)</f>
        <v>274</v>
      </c>
      <c r="D41" s="61">
        <f t="shared" si="21"/>
        <v>1</v>
      </c>
      <c r="E41" s="61">
        <f t="shared" si="21"/>
        <v>226</v>
      </c>
      <c r="F41" s="61">
        <f t="shared" si="21"/>
        <v>5</v>
      </c>
      <c r="G41" s="61">
        <f t="shared" si="21"/>
        <v>29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1067</v>
      </c>
      <c r="M41" s="48">
        <f t="shared" si="21"/>
        <v>4</v>
      </c>
      <c r="N41" s="48">
        <f t="shared" si="21"/>
        <v>1236</v>
      </c>
      <c r="O41" s="48">
        <f t="shared" si="21"/>
        <v>20</v>
      </c>
      <c r="P41" s="48">
        <f t="shared" si="21"/>
        <v>-11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2" t="s">
        <v>36</v>
      </c>
      <c r="W41" s="163"/>
      <c r="X41" s="60">
        <f t="shared" ref="X41:AO41" si="22">SUM(X31:X40)</f>
        <v>329</v>
      </c>
      <c r="Y41" s="61">
        <f t="shared" si="22"/>
        <v>0</v>
      </c>
      <c r="Z41" s="61">
        <f t="shared" si="22"/>
        <v>298</v>
      </c>
      <c r="AA41" s="61">
        <f t="shared" si="22"/>
        <v>0</v>
      </c>
      <c r="AB41" s="61">
        <f t="shared" si="22"/>
        <v>21</v>
      </c>
      <c r="AC41" s="61">
        <f t="shared" si="22"/>
        <v>0</v>
      </c>
      <c r="AD41" s="61">
        <f t="shared" si="22"/>
        <v>2</v>
      </c>
      <c r="AE41" s="61">
        <f t="shared" si="22"/>
        <v>3</v>
      </c>
      <c r="AF41" s="68">
        <f t="shared" si="22"/>
        <v>1</v>
      </c>
      <c r="AG41" s="47">
        <f t="shared" si="22"/>
        <v>1786</v>
      </c>
      <c r="AH41" s="48">
        <f t="shared" si="22"/>
        <v>2</v>
      </c>
      <c r="AI41" s="48">
        <f t="shared" si="22"/>
        <v>664</v>
      </c>
      <c r="AJ41" s="48">
        <f t="shared" si="22"/>
        <v>6</v>
      </c>
      <c r="AK41" s="48">
        <f t="shared" si="22"/>
        <v>17</v>
      </c>
      <c r="AL41" s="48">
        <f t="shared" si="22"/>
        <v>0</v>
      </c>
      <c r="AM41" s="48">
        <f t="shared" si="22"/>
        <v>0</v>
      </c>
      <c r="AN41" s="48">
        <f t="shared" si="22"/>
        <v>0</v>
      </c>
      <c r="AO41" s="49">
        <f t="shared" si="22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4" t="s">
        <v>2</v>
      </c>
      <c r="B43" s="165"/>
      <c r="C43" s="173" t="s">
        <v>39</v>
      </c>
      <c r="D43" s="171"/>
      <c r="E43" s="171"/>
      <c r="F43" s="171"/>
      <c r="G43" s="171"/>
      <c r="H43" s="174"/>
      <c r="I43" s="170" t="s">
        <v>45</v>
      </c>
      <c r="J43" s="171"/>
      <c r="K43" s="172"/>
      <c r="L43" s="178" t="s">
        <v>41</v>
      </c>
      <c r="M43" s="171"/>
      <c r="N43" s="171"/>
      <c r="O43" s="171"/>
      <c r="P43" s="171"/>
      <c r="Q43" s="171"/>
      <c r="R43" s="171"/>
      <c r="S43" s="171"/>
      <c r="T43" s="174"/>
      <c r="U43" s="2"/>
      <c r="V43" s="164" t="s">
        <v>2</v>
      </c>
      <c r="W43" s="165"/>
      <c r="X43" s="173" t="s">
        <v>42</v>
      </c>
      <c r="Y43" s="171"/>
      <c r="Z43" s="171"/>
      <c r="AA43" s="171"/>
      <c r="AB43" s="171"/>
      <c r="AC43" s="174"/>
      <c r="AD43" s="170" t="s">
        <v>45</v>
      </c>
      <c r="AE43" s="171"/>
      <c r="AF43" s="172"/>
      <c r="AG43" s="178" t="s">
        <v>43</v>
      </c>
      <c r="AH43" s="171"/>
      <c r="AI43" s="171"/>
      <c r="AJ43" s="171"/>
      <c r="AK43" s="171"/>
      <c r="AL43" s="171"/>
      <c r="AM43" s="171"/>
      <c r="AN43" s="171"/>
      <c r="AO43" s="174"/>
    </row>
    <row r="44" spans="1:45" ht="15" customHeight="1" thickBot="1" x14ac:dyDescent="0.25">
      <c r="A44" s="166"/>
      <c r="B44" s="167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6"/>
      <c r="W44" s="167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2">
        <v>7</v>
      </c>
      <c r="D45" s="113"/>
      <c r="E45" s="113">
        <v>16</v>
      </c>
      <c r="F45" s="113"/>
      <c r="G45" s="113"/>
      <c r="H45" s="113"/>
      <c r="I45" s="113"/>
      <c r="J45" s="113"/>
      <c r="K45" s="114"/>
      <c r="L45" s="131">
        <f t="shared" ref="L45:L54" si="23">SUM(L31-C45)</f>
        <v>-17</v>
      </c>
      <c r="M45" s="132">
        <f t="shared" ref="M45:M54" si="24">SUM(M31-D45)</f>
        <v>0</v>
      </c>
      <c r="N45" s="133">
        <f t="shared" ref="N45:N54" si="25">SUM(N31-E45)</f>
        <v>-17</v>
      </c>
      <c r="O45" s="132">
        <f t="shared" ref="O45:O54" si="26">SUM(O31-F45)</f>
        <v>0</v>
      </c>
      <c r="P45" s="132">
        <f t="shared" ref="P45:P54" si="27">SUM(P31-G45)</f>
        <v>0</v>
      </c>
      <c r="Q45" s="132">
        <f t="shared" ref="Q45:Q54" si="28">SUM(Q31-H45)</f>
        <v>0</v>
      </c>
      <c r="R45" s="132">
        <f t="shared" ref="R45:R54" si="29">SUM(R31-I45)</f>
        <v>0</v>
      </c>
      <c r="S45" s="132">
        <f t="shared" ref="S45:S54" si="30">SUM(S31-J45)</f>
        <v>0</v>
      </c>
      <c r="T45" s="134">
        <f t="shared" ref="T45:T54" si="31">SUM(T31-K45)</f>
        <v>0</v>
      </c>
      <c r="V45" s="13" t="s">
        <v>18</v>
      </c>
      <c r="W45" s="14" t="s">
        <v>17</v>
      </c>
      <c r="X45" s="135"/>
      <c r="Y45" s="136"/>
      <c r="Z45" s="136"/>
      <c r="AA45" s="136"/>
      <c r="AB45" s="136"/>
      <c r="AC45" s="136"/>
      <c r="AD45" s="136"/>
      <c r="AE45" s="136"/>
      <c r="AF45" s="137"/>
      <c r="AG45" s="138">
        <f t="shared" ref="AG45:AG54" si="32">SUM(AG31-X45)</f>
        <v>56</v>
      </c>
      <c r="AH45" s="132">
        <f t="shared" ref="AH45:AH54" si="33">SUM(AH31-Y45)</f>
        <v>0</v>
      </c>
      <c r="AI45" s="132">
        <f t="shared" ref="AI45:AI54" si="34">SUM(AI31-Z45)</f>
        <v>75</v>
      </c>
      <c r="AJ45" s="132">
        <f t="shared" ref="AJ45:AJ54" si="35">SUM(AJ31-AA45)</f>
        <v>0</v>
      </c>
      <c r="AK45" s="132">
        <f t="shared" ref="AK45:AK54" si="36">SUM(AK31-AB45)</f>
        <v>0</v>
      </c>
      <c r="AL45" s="132">
        <f t="shared" ref="AL45:AL54" si="37">SUM(AL31-AC45)</f>
        <v>0</v>
      </c>
      <c r="AM45" s="132">
        <f t="shared" ref="AM45:AM54" si="38">SUM(AM31-AD45)</f>
        <v>0</v>
      </c>
      <c r="AN45" s="132">
        <f t="shared" ref="AN45:AN54" si="39">SUM(AN31-AE45)</f>
        <v>0</v>
      </c>
      <c r="AO45" s="134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20"/>
      <c r="D46" s="121"/>
      <c r="E46" s="121"/>
      <c r="F46" s="121"/>
      <c r="G46" s="121"/>
      <c r="H46" s="121"/>
      <c r="I46" s="121"/>
      <c r="J46" s="121"/>
      <c r="K46" s="122"/>
      <c r="L46" s="139">
        <f t="shared" si="23"/>
        <v>6</v>
      </c>
      <c r="M46" s="140">
        <f t="shared" si="24"/>
        <v>0</v>
      </c>
      <c r="N46" s="140">
        <f t="shared" si="25"/>
        <v>6</v>
      </c>
      <c r="O46" s="140">
        <f t="shared" si="26"/>
        <v>0</v>
      </c>
      <c r="P46" s="140">
        <f t="shared" si="27"/>
        <v>0</v>
      </c>
      <c r="Q46" s="140">
        <f t="shared" si="28"/>
        <v>0</v>
      </c>
      <c r="R46" s="140">
        <f t="shared" si="29"/>
        <v>0</v>
      </c>
      <c r="S46" s="140">
        <f t="shared" si="30"/>
        <v>0</v>
      </c>
      <c r="T46" s="141">
        <f t="shared" si="31"/>
        <v>0</v>
      </c>
      <c r="V46" s="16" t="s">
        <v>20</v>
      </c>
      <c r="W46" s="17" t="s">
        <v>17</v>
      </c>
      <c r="X46" s="142"/>
      <c r="Y46" s="143"/>
      <c r="Z46" s="143"/>
      <c r="AA46" s="143"/>
      <c r="AB46" s="143"/>
      <c r="AC46" s="143"/>
      <c r="AD46" s="143"/>
      <c r="AE46" s="143"/>
      <c r="AF46" s="144"/>
      <c r="AG46" s="139">
        <f t="shared" si="32"/>
        <v>44</v>
      </c>
      <c r="AH46" s="140">
        <f t="shared" si="33"/>
        <v>0</v>
      </c>
      <c r="AI46" s="140">
        <f t="shared" si="34"/>
        <v>0</v>
      </c>
      <c r="AJ46" s="140">
        <f t="shared" si="35"/>
        <v>0</v>
      </c>
      <c r="AK46" s="140">
        <f t="shared" si="36"/>
        <v>0</v>
      </c>
      <c r="AL46" s="140">
        <f t="shared" si="37"/>
        <v>0</v>
      </c>
      <c r="AM46" s="140">
        <f t="shared" si="38"/>
        <v>0</v>
      </c>
      <c r="AN46" s="140">
        <f t="shared" si="39"/>
        <v>0</v>
      </c>
      <c r="AO46" s="141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20"/>
      <c r="D47" s="121"/>
      <c r="E47" s="121"/>
      <c r="F47" s="121"/>
      <c r="G47" s="121"/>
      <c r="H47" s="121"/>
      <c r="I47" s="121"/>
      <c r="J47" s="121"/>
      <c r="K47" s="122"/>
      <c r="L47" s="139">
        <f t="shared" si="23"/>
        <v>0</v>
      </c>
      <c r="M47" s="140">
        <f t="shared" si="24"/>
        <v>0</v>
      </c>
      <c r="N47" s="140">
        <f t="shared" si="25"/>
        <v>14</v>
      </c>
      <c r="O47" s="140">
        <f t="shared" si="26"/>
        <v>0</v>
      </c>
      <c r="P47" s="140">
        <f t="shared" si="27"/>
        <v>0</v>
      </c>
      <c r="Q47" s="140">
        <f t="shared" si="28"/>
        <v>0</v>
      </c>
      <c r="R47" s="140">
        <f t="shared" si="29"/>
        <v>0</v>
      </c>
      <c r="S47" s="140">
        <f t="shared" si="30"/>
        <v>0</v>
      </c>
      <c r="T47" s="141">
        <f t="shared" si="31"/>
        <v>0</v>
      </c>
      <c r="V47" s="16" t="s">
        <v>23</v>
      </c>
      <c r="W47" s="17" t="s">
        <v>17</v>
      </c>
      <c r="X47" s="142"/>
      <c r="Y47" s="143"/>
      <c r="Z47" s="143"/>
      <c r="AA47" s="143"/>
      <c r="AB47" s="143"/>
      <c r="AC47" s="143"/>
      <c r="AD47" s="143"/>
      <c r="AE47" s="143"/>
      <c r="AF47" s="144"/>
      <c r="AG47" s="139">
        <f t="shared" si="32"/>
        <v>0</v>
      </c>
      <c r="AH47" s="140">
        <f t="shared" si="33"/>
        <v>0</v>
      </c>
      <c r="AI47" s="140">
        <f t="shared" si="34"/>
        <v>0</v>
      </c>
      <c r="AJ47" s="140">
        <f t="shared" si="35"/>
        <v>0</v>
      </c>
      <c r="AK47" s="140">
        <f t="shared" si="36"/>
        <v>0</v>
      </c>
      <c r="AL47" s="140">
        <f t="shared" si="37"/>
        <v>0</v>
      </c>
      <c r="AM47" s="140">
        <f t="shared" si="38"/>
        <v>0</v>
      </c>
      <c r="AN47" s="140">
        <f t="shared" si="39"/>
        <v>0</v>
      </c>
      <c r="AO47" s="141">
        <f t="shared" si="40"/>
        <v>0</v>
      </c>
    </row>
    <row r="48" spans="1:45" ht="15" customHeight="1" x14ac:dyDescent="0.2">
      <c r="A48" s="110" t="s">
        <v>24</v>
      </c>
      <c r="B48" s="111" t="s">
        <v>22</v>
      </c>
      <c r="C48" s="142"/>
      <c r="D48" s="143"/>
      <c r="E48" s="143"/>
      <c r="F48" s="143"/>
      <c r="G48" s="143"/>
      <c r="H48" s="143"/>
      <c r="I48" s="143"/>
      <c r="J48" s="143"/>
      <c r="K48" s="144"/>
      <c r="L48" s="139">
        <f t="shared" si="23"/>
        <v>0</v>
      </c>
      <c r="M48" s="140">
        <f t="shared" si="24"/>
        <v>0</v>
      </c>
      <c r="N48" s="140">
        <f t="shared" si="25"/>
        <v>0</v>
      </c>
      <c r="O48" s="140">
        <f t="shared" si="26"/>
        <v>0</v>
      </c>
      <c r="P48" s="140">
        <f t="shared" si="27"/>
        <v>0</v>
      </c>
      <c r="Q48" s="140">
        <f t="shared" si="28"/>
        <v>0</v>
      </c>
      <c r="R48" s="140">
        <f t="shared" si="29"/>
        <v>0</v>
      </c>
      <c r="S48" s="140">
        <f t="shared" si="30"/>
        <v>0</v>
      </c>
      <c r="T48" s="141">
        <f t="shared" si="31"/>
        <v>0</v>
      </c>
      <c r="V48" s="16" t="s">
        <v>25</v>
      </c>
      <c r="W48" s="17" t="s">
        <v>17</v>
      </c>
      <c r="X48" s="142"/>
      <c r="Y48" s="143"/>
      <c r="Z48" s="143"/>
      <c r="AA48" s="143"/>
      <c r="AB48" s="143"/>
      <c r="AC48" s="143"/>
      <c r="AD48" s="143"/>
      <c r="AE48" s="143"/>
      <c r="AF48" s="144"/>
      <c r="AG48" s="139">
        <f t="shared" si="32"/>
        <v>8</v>
      </c>
      <c r="AH48" s="140">
        <f t="shared" si="33"/>
        <v>0</v>
      </c>
      <c r="AI48" s="140">
        <f t="shared" si="34"/>
        <v>0</v>
      </c>
      <c r="AJ48" s="140">
        <f t="shared" si="35"/>
        <v>0</v>
      </c>
      <c r="AK48" s="140">
        <f t="shared" si="36"/>
        <v>0</v>
      </c>
      <c r="AL48" s="140">
        <f t="shared" si="37"/>
        <v>0</v>
      </c>
      <c r="AM48" s="140">
        <f t="shared" si="38"/>
        <v>0</v>
      </c>
      <c r="AN48" s="140">
        <f t="shared" si="39"/>
        <v>0</v>
      </c>
      <c r="AO48" s="141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5">
        <v>95</v>
      </c>
      <c r="D49" s="129"/>
      <c r="E49" s="129">
        <v>43</v>
      </c>
      <c r="F49" s="129"/>
      <c r="G49" s="129"/>
      <c r="H49" s="129"/>
      <c r="I49" s="129"/>
      <c r="J49" s="129"/>
      <c r="K49" s="146"/>
      <c r="L49" s="147">
        <f t="shared" si="23"/>
        <v>446</v>
      </c>
      <c r="M49" s="148">
        <f t="shared" si="24"/>
        <v>0</v>
      </c>
      <c r="N49" s="148">
        <f t="shared" si="25"/>
        <v>620</v>
      </c>
      <c r="O49" s="148">
        <f t="shared" si="26"/>
        <v>0</v>
      </c>
      <c r="P49" s="148">
        <f t="shared" si="27"/>
        <v>0</v>
      </c>
      <c r="Q49" s="148">
        <f t="shared" si="28"/>
        <v>0</v>
      </c>
      <c r="R49" s="148">
        <f t="shared" si="29"/>
        <v>0</v>
      </c>
      <c r="S49" s="148">
        <f t="shared" si="30"/>
        <v>0</v>
      </c>
      <c r="T49" s="149">
        <f t="shared" si="31"/>
        <v>0</v>
      </c>
      <c r="V49" s="25" t="s">
        <v>28</v>
      </c>
      <c r="W49" s="26" t="s">
        <v>27</v>
      </c>
      <c r="X49" s="145">
        <v>61</v>
      </c>
      <c r="Y49" s="129"/>
      <c r="Z49" s="129">
        <v>40</v>
      </c>
      <c r="AA49" s="129">
        <v>1</v>
      </c>
      <c r="AB49" s="129">
        <v>9</v>
      </c>
      <c r="AC49" s="129"/>
      <c r="AD49" s="129"/>
      <c r="AE49" s="129"/>
      <c r="AF49" s="146"/>
      <c r="AG49" s="147">
        <f t="shared" si="32"/>
        <v>713</v>
      </c>
      <c r="AH49" s="148">
        <f t="shared" si="33"/>
        <v>0</v>
      </c>
      <c r="AI49" s="148">
        <f t="shared" si="34"/>
        <v>58</v>
      </c>
      <c r="AJ49" s="148">
        <f t="shared" si="35"/>
        <v>5</v>
      </c>
      <c r="AK49" s="148">
        <f t="shared" si="36"/>
        <v>8</v>
      </c>
      <c r="AL49" s="148">
        <f t="shared" si="37"/>
        <v>0</v>
      </c>
      <c r="AM49" s="148">
        <f t="shared" si="38"/>
        <v>0</v>
      </c>
      <c r="AN49" s="148">
        <f t="shared" si="39"/>
        <v>0</v>
      </c>
      <c r="AO49" s="149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5">
        <v>100</v>
      </c>
      <c r="D50" s="129"/>
      <c r="E50" s="129">
        <v>85</v>
      </c>
      <c r="F50" s="129">
        <v>2</v>
      </c>
      <c r="G50" s="129">
        <v>14</v>
      </c>
      <c r="H50" s="129"/>
      <c r="I50" s="129"/>
      <c r="J50" s="129"/>
      <c r="K50" s="146"/>
      <c r="L50" s="147">
        <f t="shared" si="23"/>
        <v>430</v>
      </c>
      <c r="M50" s="148">
        <f t="shared" si="24"/>
        <v>4</v>
      </c>
      <c r="N50" s="148">
        <f t="shared" si="25"/>
        <v>469</v>
      </c>
      <c r="O50" s="148">
        <f t="shared" si="26"/>
        <v>18</v>
      </c>
      <c r="P50" s="150">
        <f t="shared" si="27"/>
        <v>-25</v>
      </c>
      <c r="Q50" s="148">
        <f t="shared" si="28"/>
        <v>0</v>
      </c>
      <c r="R50" s="148">
        <f t="shared" si="29"/>
        <v>0</v>
      </c>
      <c r="S50" s="148">
        <f t="shared" si="30"/>
        <v>0</v>
      </c>
      <c r="T50" s="149">
        <f t="shared" si="31"/>
        <v>0</v>
      </c>
      <c r="V50" s="25" t="s">
        <v>30</v>
      </c>
      <c r="W50" s="26" t="s">
        <v>27</v>
      </c>
      <c r="X50" s="145"/>
      <c r="Y50" s="129"/>
      <c r="Z50" s="129">
        <v>17</v>
      </c>
      <c r="AA50" s="129"/>
      <c r="AB50" s="129"/>
      <c r="AC50" s="129"/>
      <c r="AD50" s="129"/>
      <c r="AE50" s="129"/>
      <c r="AF50" s="146"/>
      <c r="AG50" s="147">
        <f t="shared" si="32"/>
        <v>32</v>
      </c>
      <c r="AH50" s="148">
        <f t="shared" si="33"/>
        <v>0</v>
      </c>
      <c r="AI50" s="148">
        <f t="shared" si="34"/>
        <v>4</v>
      </c>
      <c r="AJ50" s="148">
        <f t="shared" si="35"/>
        <v>0</v>
      </c>
      <c r="AK50" s="148">
        <f t="shared" si="36"/>
        <v>0</v>
      </c>
      <c r="AL50" s="148">
        <f t="shared" si="37"/>
        <v>0</v>
      </c>
      <c r="AM50" s="148">
        <f t="shared" si="38"/>
        <v>0</v>
      </c>
      <c r="AN50" s="148">
        <f t="shared" si="39"/>
        <v>0</v>
      </c>
      <c r="AO50" s="149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51">
        <f t="shared" si="23"/>
        <v>0</v>
      </c>
      <c r="M51" s="152">
        <f t="shared" si="24"/>
        <v>0</v>
      </c>
      <c r="N51" s="152">
        <f t="shared" si="25"/>
        <v>0</v>
      </c>
      <c r="O51" s="152">
        <f t="shared" si="26"/>
        <v>0</v>
      </c>
      <c r="P51" s="152">
        <f t="shared" si="27"/>
        <v>0</v>
      </c>
      <c r="Q51" s="152">
        <f t="shared" si="28"/>
        <v>0</v>
      </c>
      <c r="R51" s="152">
        <f t="shared" si="29"/>
        <v>0</v>
      </c>
      <c r="S51" s="152">
        <f t="shared" si="30"/>
        <v>0</v>
      </c>
      <c r="T51" s="153">
        <f t="shared" si="31"/>
        <v>0</v>
      </c>
      <c r="V51" s="25" t="s">
        <v>31</v>
      </c>
      <c r="W51" s="26" t="s">
        <v>27</v>
      </c>
      <c r="X51" s="145">
        <v>122</v>
      </c>
      <c r="Y51" s="129"/>
      <c r="Z51" s="129">
        <v>95</v>
      </c>
      <c r="AA51" s="129"/>
      <c r="AB51" s="129"/>
      <c r="AC51" s="129"/>
      <c r="AD51" s="129"/>
      <c r="AE51" s="129"/>
      <c r="AF51" s="146">
        <v>1</v>
      </c>
      <c r="AG51" s="147">
        <f t="shared" si="32"/>
        <v>750</v>
      </c>
      <c r="AH51" s="148">
        <f t="shared" si="33"/>
        <v>2</v>
      </c>
      <c r="AI51" s="148">
        <f t="shared" si="34"/>
        <v>375</v>
      </c>
      <c r="AJ51" s="148">
        <f t="shared" si="35"/>
        <v>0</v>
      </c>
      <c r="AK51" s="148">
        <f t="shared" si="36"/>
        <v>0</v>
      </c>
      <c r="AL51" s="148">
        <f t="shared" si="37"/>
        <v>0</v>
      </c>
      <c r="AM51" s="148">
        <f t="shared" si="38"/>
        <v>0</v>
      </c>
      <c r="AN51" s="148">
        <f t="shared" si="39"/>
        <v>0</v>
      </c>
      <c r="AO51" s="149">
        <f t="shared" si="40"/>
        <v>-1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51">
        <f t="shared" si="23"/>
        <v>0</v>
      </c>
      <c r="M52" s="152">
        <f t="shared" si="24"/>
        <v>0</v>
      </c>
      <c r="N52" s="152">
        <f t="shared" si="25"/>
        <v>0</v>
      </c>
      <c r="O52" s="152">
        <f t="shared" si="26"/>
        <v>0</v>
      </c>
      <c r="P52" s="152">
        <f t="shared" si="27"/>
        <v>0</v>
      </c>
      <c r="Q52" s="152">
        <f t="shared" si="28"/>
        <v>0</v>
      </c>
      <c r="R52" s="152">
        <f t="shared" si="29"/>
        <v>0</v>
      </c>
      <c r="S52" s="152">
        <f t="shared" si="30"/>
        <v>0</v>
      </c>
      <c r="T52" s="153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51">
        <f t="shared" si="32"/>
        <v>0</v>
      </c>
      <c r="AH52" s="152">
        <f t="shared" si="33"/>
        <v>0</v>
      </c>
      <c r="AI52" s="152">
        <f t="shared" si="34"/>
        <v>0</v>
      </c>
      <c r="AJ52" s="152">
        <f t="shared" si="35"/>
        <v>0</v>
      </c>
      <c r="AK52" s="152">
        <f t="shared" si="36"/>
        <v>0</v>
      </c>
      <c r="AL52" s="152">
        <f t="shared" si="37"/>
        <v>0</v>
      </c>
      <c r="AM52" s="152">
        <f t="shared" si="38"/>
        <v>0</v>
      </c>
      <c r="AN52" s="152">
        <f t="shared" si="39"/>
        <v>0</v>
      </c>
      <c r="AO52" s="153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51">
        <f t="shared" si="23"/>
        <v>0</v>
      </c>
      <c r="M53" s="152">
        <f t="shared" si="24"/>
        <v>0</v>
      </c>
      <c r="N53" s="152">
        <f t="shared" si="25"/>
        <v>0</v>
      </c>
      <c r="O53" s="152">
        <f t="shared" si="26"/>
        <v>0</v>
      </c>
      <c r="P53" s="152">
        <f t="shared" si="27"/>
        <v>0</v>
      </c>
      <c r="Q53" s="152">
        <f t="shared" si="28"/>
        <v>0</v>
      </c>
      <c r="R53" s="152">
        <f t="shared" si="29"/>
        <v>0</v>
      </c>
      <c r="S53" s="152">
        <f t="shared" si="30"/>
        <v>0</v>
      </c>
      <c r="T53" s="153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51">
        <f t="shared" si="32"/>
        <v>0</v>
      </c>
      <c r="AH53" s="152">
        <f t="shared" si="33"/>
        <v>0</v>
      </c>
      <c r="AI53" s="152">
        <f t="shared" si="34"/>
        <v>0</v>
      </c>
      <c r="AJ53" s="152">
        <f t="shared" si="35"/>
        <v>0</v>
      </c>
      <c r="AK53" s="152">
        <f t="shared" si="36"/>
        <v>0</v>
      </c>
      <c r="AL53" s="152">
        <f t="shared" si="37"/>
        <v>0</v>
      </c>
      <c r="AM53" s="152">
        <f t="shared" si="38"/>
        <v>0</v>
      </c>
      <c r="AN53" s="152">
        <f t="shared" si="39"/>
        <v>0</v>
      </c>
      <c r="AO53" s="153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4">
        <f t="shared" si="23"/>
        <v>0</v>
      </c>
      <c r="M54" s="155">
        <f t="shared" si="24"/>
        <v>0</v>
      </c>
      <c r="N54" s="155">
        <f t="shared" si="25"/>
        <v>0</v>
      </c>
      <c r="O54" s="155">
        <f t="shared" si="26"/>
        <v>0</v>
      </c>
      <c r="P54" s="155">
        <f t="shared" si="27"/>
        <v>0</v>
      </c>
      <c r="Q54" s="155">
        <f t="shared" si="28"/>
        <v>0</v>
      </c>
      <c r="R54" s="155">
        <f t="shared" si="29"/>
        <v>0</v>
      </c>
      <c r="S54" s="155">
        <f t="shared" si="30"/>
        <v>0</v>
      </c>
      <c r="T54" s="156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51">
        <f t="shared" si="32"/>
        <v>0</v>
      </c>
      <c r="AH54" s="152">
        <f t="shared" si="33"/>
        <v>0</v>
      </c>
      <c r="AI54" s="152">
        <f t="shared" si="34"/>
        <v>0</v>
      </c>
      <c r="AJ54" s="152">
        <f t="shared" si="35"/>
        <v>0</v>
      </c>
      <c r="AK54" s="152">
        <f t="shared" si="36"/>
        <v>0</v>
      </c>
      <c r="AL54" s="152">
        <f t="shared" si="37"/>
        <v>0</v>
      </c>
      <c r="AM54" s="152">
        <f t="shared" si="38"/>
        <v>0</v>
      </c>
      <c r="AN54" s="152">
        <f t="shared" si="39"/>
        <v>0</v>
      </c>
      <c r="AO54" s="153">
        <f t="shared" si="40"/>
        <v>0</v>
      </c>
    </row>
    <row r="55" spans="1:41" ht="15" customHeight="1" thickBot="1" x14ac:dyDescent="0.25">
      <c r="A55" s="162" t="s">
        <v>35</v>
      </c>
      <c r="B55" s="163"/>
      <c r="C55" s="60">
        <f t="shared" ref="C55:T55" si="41">SUM(C45:C54)</f>
        <v>202</v>
      </c>
      <c r="D55" s="61">
        <f t="shared" si="41"/>
        <v>0</v>
      </c>
      <c r="E55" s="61">
        <f t="shared" si="41"/>
        <v>144</v>
      </c>
      <c r="F55" s="61">
        <f t="shared" si="41"/>
        <v>2</v>
      </c>
      <c r="G55" s="61">
        <f t="shared" si="41"/>
        <v>14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865</v>
      </c>
      <c r="M55" s="48">
        <f t="shared" si="41"/>
        <v>4</v>
      </c>
      <c r="N55" s="48">
        <f t="shared" si="41"/>
        <v>1092</v>
      </c>
      <c r="O55" s="48">
        <f t="shared" si="41"/>
        <v>18</v>
      </c>
      <c r="P55" s="48">
        <f t="shared" si="41"/>
        <v>-25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2" t="s">
        <v>36</v>
      </c>
      <c r="W55" s="163"/>
      <c r="X55" s="60">
        <f t="shared" ref="X55:AO55" si="42">SUM(X45:X54)</f>
        <v>183</v>
      </c>
      <c r="Y55" s="61">
        <f t="shared" si="42"/>
        <v>0</v>
      </c>
      <c r="Z55" s="61">
        <f t="shared" si="42"/>
        <v>152</v>
      </c>
      <c r="AA55" s="61">
        <f t="shared" si="42"/>
        <v>1</v>
      </c>
      <c r="AB55" s="61">
        <f t="shared" si="42"/>
        <v>9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1</v>
      </c>
      <c r="AG55" s="47">
        <f t="shared" si="42"/>
        <v>1603</v>
      </c>
      <c r="AH55" s="48">
        <f t="shared" si="42"/>
        <v>2</v>
      </c>
      <c r="AI55" s="48">
        <f t="shared" si="42"/>
        <v>512</v>
      </c>
      <c r="AJ55" s="48">
        <f t="shared" si="42"/>
        <v>5</v>
      </c>
      <c r="AK55" s="48">
        <f t="shared" si="42"/>
        <v>8</v>
      </c>
      <c r="AL55" s="48">
        <f t="shared" si="42"/>
        <v>0</v>
      </c>
      <c r="AM55" s="48">
        <f t="shared" si="42"/>
        <v>0</v>
      </c>
      <c r="AN55" s="48">
        <f t="shared" si="42"/>
        <v>0</v>
      </c>
      <c r="AO55" s="49">
        <f t="shared" si="42"/>
        <v>-1</v>
      </c>
    </row>
    <row r="57" spans="1:41" ht="16.899999999999999" customHeight="1" x14ac:dyDescent="0.2">
      <c r="A57" s="15"/>
      <c r="B57" s="168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V57" s="69"/>
      <c r="W57" s="168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</row>
    <row r="58" spans="1:41" ht="16.899999999999999" customHeight="1" x14ac:dyDescent="0.2">
      <c r="B58" s="168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V58" s="69"/>
      <c r="W58" s="168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</row>
    <row r="59" spans="1:41" ht="16.899999999999999" customHeight="1" x14ac:dyDescent="0.2">
      <c r="B59" s="182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W59" s="182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</row>
    <row r="60" spans="1:41" ht="16.899999999999999" customHeight="1" x14ac:dyDescent="0.2">
      <c r="B60" s="182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W60" s="182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L29:T29"/>
    <mergeCell ref="V55:W55"/>
    <mergeCell ref="W59:AO59"/>
    <mergeCell ref="X43:AC43"/>
    <mergeCell ref="AL1:AO1"/>
    <mergeCell ref="AG17:AO17"/>
    <mergeCell ref="AM2:AO2"/>
    <mergeCell ref="AG29:AO29"/>
    <mergeCell ref="AG2:AL2"/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="145" zoomScaleNormal="145" workbookViewId="0">
      <selection sqref="A1:I12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46</v>
      </c>
      <c r="B1" s="188"/>
      <c r="C1" s="188"/>
      <c r="D1" s="189"/>
      <c r="E1" s="90"/>
      <c r="F1" s="187" t="s">
        <v>47</v>
      </c>
      <c r="G1" s="188"/>
      <c r="H1" s="188"/>
      <c r="I1" s="189"/>
      <c r="J1" s="91"/>
      <c r="K1" s="91"/>
      <c r="L1" s="91"/>
      <c r="M1" s="91"/>
    </row>
    <row r="2" spans="1:13" ht="16.149999999999999" customHeight="1" x14ac:dyDescent="0.25">
      <c r="A2" s="192" t="s">
        <v>48</v>
      </c>
      <c r="B2" s="89" t="s">
        <v>49</v>
      </c>
      <c r="C2" s="89" t="s">
        <v>50</v>
      </c>
      <c r="D2" s="89" t="s">
        <v>51</v>
      </c>
      <c r="E2" s="92"/>
      <c r="F2" s="190" t="s">
        <v>48</v>
      </c>
      <c r="G2" s="89" t="s">
        <v>49</v>
      </c>
      <c r="H2" s="89" t="s">
        <v>50</v>
      </c>
      <c r="I2" s="89" t="s">
        <v>51</v>
      </c>
      <c r="J2" s="91"/>
      <c r="K2" s="91"/>
      <c r="L2" s="91"/>
      <c r="M2" s="91"/>
    </row>
    <row r="3" spans="1:13" ht="16.149999999999999" customHeight="1" x14ac:dyDescent="0.25">
      <c r="A3" s="191"/>
      <c r="B3" s="93" t="s">
        <v>11</v>
      </c>
      <c r="C3" s="93" t="s">
        <v>11</v>
      </c>
      <c r="D3" s="93" t="s">
        <v>11</v>
      </c>
      <c r="E3" s="92"/>
      <c r="F3" s="191"/>
      <c r="G3" s="93" t="s">
        <v>11</v>
      </c>
      <c r="H3" s="93" t="s">
        <v>11</v>
      </c>
      <c r="I3" s="93" t="s">
        <v>11</v>
      </c>
      <c r="J3" s="94"/>
      <c r="K3" s="94"/>
      <c r="L3" s="94"/>
      <c r="M3" s="94"/>
    </row>
    <row r="4" spans="1:13" ht="16.149999999999999" hidden="1" customHeight="1" x14ac:dyDescent="0.25">
      <c r="A4" s="95">
        <v>2026</v>
      </c>
      <c r="B4" s="96"/>
      <c r="C4" s="96"/>
      <c r="D4" s="96"/>
      <c r="E4" s="92"/>
      <c r="F4" s="96">
        <v>2026</v>
      </c>
      <c r="G4" s="96"/>
      <c r="H4" s="96"/>
      <c r="I4" s="96"/>
      <c r="J4" s="94"/>
      <c r="K4" s="94"/>
      <c r="L4" s="94"/>
      <c r="M4" s="94"/>
    </row>
    <row r="5" spans="1:13" ht="16.149999999999999" customHeight="1" x14ac:dyDescent="0.25">
      <c r="A5" s="96">
        <v>2025</v>
      </c>
      <c r="B5" s="97">
        <v>2</v>
      </c>
      <c r="C5" s="97"/>
      <c r="D5" s="97"/>
      <c r="E5" s="92"/>
      <c r="F5" s="96">
        <v>2025</v>
      </c>
      <c r="G5" s="97">
        <v>7</v>
      </c>
      <c r="H5" s="97"/>
      <c r="I5" s="97"/>
      <c r="J5" s="94"/>
      <c r="K5" s="94"/>
      <c r="L5" s="94"/>
      <c r="M5" s="94"/>
    </row>
    <row r="6" spans="1:13" ht="16.149999999999999" hidden="1" customHeight="1" x14ac:dyDescent="0.25">
      <c r="A6" s="96">
        <v>2024</v>
      </c>
      <c r="B6" s="97"/>
      <c r="C6" s="97"/>
      <c r="D6" s="97"/>
      <c r="E6" s="92"/>
      <c r="F6" s="96">
        <v>2024</v>
      </c>
      <c r="G6" s="97"/>
      <c r="H6" s="97"/>
      <c r="I6" s="97"/>
    </row>
    <row r="7" spans="1:13" ht="16.149999999999999" customHeight="1" x14ac:dyDescent="0.25">
      <c r="A7" s="98">
        <v>2023</v>
      </c>
      <c r="B7" s="99">
        <v>1</v>
      </c>
      <c r="C7" s="99"/>
      <c r="D7" s="99"/>
      <c r="E7" s="86"/>
      <c r="F7" s="98">
        <v>2023</v>
      </c>
      <c r="G7" s="99">
        <v>5</v>
      </c>
      <c r="H7" s="99"/>
      <c r="I7" s="99"/>
    </row>
    <row r="8" spans="1:13" ht="16.149999999999999" hidden="1" customHeight="1" thickBot="1" x14ac:dyDescent="0.3">
      <c r="A8" s="98">
        <v>2022</v>
      </c>
      <c r="B8" s="99"/>
      <c r="C8" s="99"/>
      <c r="D8" s="99"/>
      <c r="F8" s="98">
        <v>2022</v>
      </c>
      <c r="G8" s="99"/>
      <c r="H8" s="99"/>
      <c r="I8" s="99"/>
    </row>
    <row r="9" spans="1:13" ht="16.149999999999999" customHeight="1" x14ac:dyDescent="0.25">
      <c r="A9" s="98">
        <v>2021</v>
      </c>
      <c r="B9" s="99">
        <v>6</v>
      </c>
      <c r="C9" s="99"/>
      <c r="D9" s="99"/>
      <c r="F9" s="98">
        <v>2021</v>
      </c>
      <c r="G9" s="99">
        <v>6</v>
      </c>
      <c r="H9" s="99"/>
      <c r="I9" s="99"/>
    </row>
    <row r="10" spans="1:13" ht="15" x14ac:dyDescent="0.25">
      <c r="A10" s="98">
        <v>2020</v>
      </c>
      <c r="B10" s="99">
        <v>2</v>
      </c>
      <c r="C10" s="99"/>
      <c r="D10" s="99"/>
      <c r="F10" s="98">
        <v>2020</v>
      </c>
      <c r="G10" s="99">
        <v>3</v>
      </c>
      <c r="H10" s="99"/>
      <c r="I10" s="99"/>
    </row>
    <row r="11" spans="1:13" ht="15" x14ac:dyDescent="0.25">
      <c r="A11" s="100" t="s">
        <v>52</v>
      </c>
      <c r="B11" s="101">
        <f>SUM(B4:B10)</f>
        <v>11</v>
      </c>
      <c r="C11" s="101">
        <f>SUM(C4:C10)</f>
        <v>0</v>
      </c>
      <c r="D11" s="101">
        <f>SUM(D4:D10)</f>
        <v>0</v>
      </c>
      <c r="E11" s="102"/>
      <c r="F11" s="100" t="s">
        <v>52</v>
      </c>
      <c r="G11" s="101">
        <f>SUM(G4:G10)</f>
        <v>21</v>
      </c>
      <c r="H11" s="101">
        <f>SUM(H4:H10)</f>
        <v>0</v>
      </c>
      <c r="I11" s="101">
        <f>SUM(I4:I10)</f>
        <v>0</v>
      </c>
      <c r="J11" s="103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B1" sqref="B1:K21"/>
    </sheetView>
  </sheetViews>
  <sheetFormatPr defaultColWidth="8.75" defaultRowHeight="15.6" customHeight="1" x14ac:dyDescent="0.2"/>
  <cols>
    <col min="1" max="1" width="1.375" style="88" customWidth="1"/>
    <col min="2" max="2" width="18.25" style="88" bestFit="1" customWidth="1"/>
    <col min="3" max="11" width="5.75" style="88" customWidth="1"/>
    <col min="12" max="12" width="18" style="73" customWidth="1"/>
    <col min="13" max="13" width="1.375" style="88" customWidth="1"/>
    <col min="14" max="14" width="8.75" style="88" customWidth="1"/>
    <col min="15" max="16384" width="8.75" style="88"/>
  </cols>
  <sheetData>
    <row r="1" spans="2:12" ht="15.6" customHeight="1" thickBot="1" x14ac:dyDescent="0.25">
      <c r="B1" s="196" t="s">
        <v>46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1341</v>
      </c>
      <c r="D3" s="79">
        <f>Daily!M15</f>
        <v>5</v>
      </c>
      <c r="E3" s="79">
        <f>Daily!N15</f>
        <v>1462</v>
      </c>
      <c r="F3" s="79">
        <f>Daily!O15</f>
        <v>25</v>
      </c>
      <c r="G3" s="79">
        <f>Daily!P15</f>
        <v>18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7">
        <f>Daily!L14</f>
        <v>0</v>
      </c>
      <c r="D4" s="157">
        <f>Daily!M14</f>
        <v>0</v>
      </c>
      <c r="E4" s="157">
        <f>Daily!N14</f>
        <v>0</v>
      </c>
      <c r="F4" s="157">
        <f>Daily!O14</f>
        <v>0</v>
      </c>
      <c r="G4" s="157">
        <f>Daily!P14</f>
        <v>0</v>
      </c>
      <c r="H4" s="157">
        <f>Daily!Q14</f>
        <v>0</v>
      </c>
      <c r="I4" s="157">
        <f>Daily!R14</f>
        <v>0</v>
      </c>
      <c r="J4" s="157">
        <f>Daily!S14</f>
        <v>0</v>
      </c>
      <c r="K4" s="157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8">
        <f>Daily!C15</f>
        <v>443</v>
      </c>
      <c r="D7" s="158">
        <f>Daily!D15</f>
        <v>0</v>
      </c>
      <c r="E7" s="158">
        <f>Daily!E15</f>
        <v>281</v>
      </c>
      <c r="F7" s="158">
        <f>Daily!F15</f>
        <v>17</v>
      </c>
      <c r="G7" s="158">
        <f>Daily!G15</f>
        <v>41</v>
      </c>
      <c r="H7" s="158">
        <f>Daily!H15</f>
        <v>0</v>
      </c>
      <c r="I7" s="158">
        <f>Daily!I15</f>
        <v>0</v>
      </c>
      <c r="J7" s="158">
        <f>Daily!J15</f>
        <v>0</v>
      </c>
      <c r="K7" s="158">
        <f>Daily!K15</f>
        <v>0</v>
      </c>
    </row>
    <row r="8" spans="2:12" ht="15.6" customHeight="1" thickBot="1" x14ac:dyDescent="0.25">
      <c r="B8" s="78" t="s">
        <v>57</v>
      </c>
      <c r="C8" s="157">
        <f>Daily!C41</f>
        <v>274</v>
      </c>
      <c r="D8" s="157">
        <f>Daily!D41</f>
        <v>1</v>
      </c>
      <c r="E8" s="157">
        <f>Daily!E41</f>
        <v>226</v>
      </c>
      <c r="F8" s="157">
        <f>Daily!F41</f>
        <v>5</v>
      </c>
      <c r="G8" s="157">
        <f>Daily!G41</f>
        <v>29</v>
      </c>
      <c r="H8" s="157">
        <f>Daily!H41</f>
        <v>0</v>
      </c>
      <c r="I8" s="157">
        <f>Daily!I41</f>
        <v>0</v>
      </c>
      <c r="J8" s="157">
        <f>Daily!J41</f>
        <v>0</v>
      </c>
      <c r="K8" s="157">
        <f>Daily!K41</f>
        <v>0</v>
      </c>
      <c r="L8" s="73" t="str">
        <f>Daily!I29</f>
        <v>22-27/09/2026</v>
      </c>
    </row>
    <row r="9" spans="2:12" ht="15.6" customHeight="1" thickBot="1" x14ac:dyDescent="0.25">
      <c r="B9" s="78" t="s">
        <v>58</v>
      </c>
      <c r="C9" s="159">
        <f>Daily!C55</f>
        <v>202</v>
      </c>
      <c r="D9" s="159">
        <f>Daily!D55</f>
        <v>0</v>
      </c>
      <c r="E9" s="159">
        <f>Daily!E55</f>
        <v>144</v>
      </c>
      <c r="F9" s="159">
        <f>Daily!F55</f>
        <v>2</v>
      </c>
      <c r="G9" s="159">
        <f>Daily!G55</f>
        <v>14</v>
      </c>
      <c r="H9" s="159">
        <f>Daily!H55</f>
        <v>0</v>
      </c>
      <c r="I9" s="159">
        <f>Daily!I55</f>
        <v>0</v>
      </c>
      <c r="J9" s="159">
        <f>Daily!J55</f>
        <v>0</v>
      </c>
      <c r="K9" s="159">
        <f>Daily!K55</f>
        <v>0</v>
      </c>
      <c r="L9" s="83" t="str">
        <f>Daily!I43</f>
        <v>28/09-04/10/2026</v>
      </c>
    </row>
    <row r="10" spans="2:12" ht="15.6" customHeight="1" thickBot="1" x14ac:dyDescent="0.25">
      <c r="B10" s="84" t="s">
        <v>59</v>
      </c>
      <c r="C10" s="160">
        <f t="shared" ref="C10:K10" si="0">SUM(C3+C4+C5+C6+C7-C8-C9)</f>
        <v>1308</v>
      </c>
      <c r="D10" s="160">
        <f t="shared" si="0"/>
        <v>4</v>
      </c>
      <c r="E10" s="160">
        <f t="shared" si="0"/>
        <v>1373</v>
      </c>
      <c r="F10" s="160">
        <f t="shared" si="0"/>
        <v>35</v>
      </c>
      <c r="G10" s="160">
        <f t="shared" si="0"/>
        <v>16</v>
      </c>
      <c r="H10" s="85">
        <f t="shared" si="0"/>
        <v>0</v>
      </c>
      <c r="I10" s="85">
        <f t="shared" si="0"/>
        <v>0</v>
      </c>
      <c r="J10" s="85">
        <f t="shared" si="0"/>
        <v>0</v>
      </c>
      <c r="K10" s="85">
        <f t="shared" si="0"/>
        <v>0</v>
      </c>
    </row>
    <row r="11" spans="2:12" ht="9.6" customHeight="1" thickBot="1" x14ac:dyDescent="0.25">
      <c r="B11" s="86"/>
      <c r="C11" s="86"/>
      <c r="D11" s="86"/>
      <c r="E11" s="86"/>
      <c r="F11" s="86"/>
      <c r="G11" s="86"/>
      <c r="H11" s="86"/>
      <c r="I11" s="86"/>
      <c r="J11" s="86"/>
      <c r="K11" s="86"/>
    </row>
    <row r="12" spans="2:12" ht="15.6" customHeight="1" thickBot="1" x14ac:dyDescent="0.25">
      <c r="B12" s="193" t="s">
        <v>47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2115</v>
      </c>
      <c r="D14" s="79">
        <f>Daily!AH15</f>
        <v>2</v>
      </c>
      <c r="E14" s="79">
        <f>Daily!AI15</f>
        <v>962</v>
      </c>
      <c r="F14" s="79">
        <f>Daily!AJ15</f>
        <v>6</v>
      </c>
      <c r="G14" s="79">
        <f>Daily!AK15</f>
        <v>38</v>
      </c>
      <c r="H14" s="79">
        <f>Daily!AL15</f>
        <v>0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7">
        <f>Daily!AG14</f>
        <v>70</v>
      </c>
      <c r="D15" s="157">
        <f>Daily!AH14</f>
        <v>0</v>
      </c>
      <c r="E15" s="157">
        <f>Daily!AI14</f>
        <v>40</v>
      </c>
      <c r="F15" s="157">
        <f>Daily!AJ14</f>
        <v>0</v>
      </c>
      <c r="G15" s="157">
        <f>Daily!AK14</f>
        <v>0</v>
      </c>
      <c r="H15" s="157">
        <f>Daily!AL14</f>
        <v>1</v>
      </c>
      <c r="I15" s="157">
        <f>Daily!AM14</f>
        <v>0</v>
      </c>
      <c r="J15" s="157">
        <f>Daily!AN14</f>
        <v>0</v>
      </c>
      <c r="K15" s="157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8">
        <f>Daily!X15</f>
        <v>195</v>
      </c>
      <c r="D18" s="158">
        <f>Daily!Y15</f>
        <v>0</v>
      </c>
      <c r="E18" s="158">
        <f>Daily!Z15</f>
        <v>242</v>
      </c>
      <c r="F18" s="158">
        <f>Daily!AA15</f>
        <v>1</v>
      </c>
      <c r="G18" s="158">
        <f>Daily!AB15</f>
        <v>14</v>
      </c>
      <c r="H18" s="158">
        <f>Daily!AC15</f>
        <v>0</v>
      </c>
      <c r="I18" s="158">
        <f>Daily!AD15</f>
        <v>0</v>
      </c>
      <c r="J18" s="158">
        <f>Daily!AE15</f>
        <v>0</v>
      </c>
      <c r="K18" s="158">
        <f>Daily!AF15</f>
        <v>0</v>
      </c>
    </row>
    <row r="19" spans="2:12" ht="15.6" customHeight="1" thickBot="1" x14ac:dyDescent="0.25">
      <c r="B19" s="87" t="s">
        <v>57</v>
      </c>
      <c r="C19" s="159">
        <f>Daily!X41</f>
        <v>329</v>
      </c>
      <c r="D19" s="159">
        <f>Daily!Y41</f>
        <v>0</v>
      </c>
      <c r="E19" s="159">
        <f>Daily!Z41</f>
        <v>298</v>
      </c>
      <c r="F19" s="159">
        <f>Daily!AA41</f>
        <v>0</v>
      </c>
      <c r="G19" s="159">
        <f>Daily!AB41</f>
        <v>21</v>
      </c>
      <c r="H19" s="159">
        <f>Daily!AC41</f>
        <v>0</v>
      </c>
      <c r="I19" s="161">
        <f>Daily!AD41</f>
        <v>2</v>
      </c>
      <c r="J19" s="161">
        <f>Daily!AE41</f>
        <v>3</v>
      </c>
      <c r="K19" s="159">
        <f>Daily!AF41</f>
        <v>1</v>
      </c>
      <c r="L19" s="73" t="str">
        <f>Daily!AD29</f>
        <v>22-27/09/2026</v>
      </c>
    </row>
    <row r="20" spans="2:12" ht="15.6" customHeight="1" thickBot="1" x14ac:dyDescent="0.25">
      <c r="B20" s="87" t="s">
        <v>58</v>
      </c>
      <c r="C20" s="159">
        <f>Daily!X55</f>
        <v>183</v>
      </c>
      <c r="D20" s="159">
        <f>Daily!Y55</f>
        <v>0</v>
      </c>
      <c r="E20" s="159">
        <f>Daily!Z55</f>
        <v>152</v>
      </c>
      <c r="F20" s="159">
        <f>Daily!AA55</f>
        <v>1</v>
      </c>
      <c r="G20" s="159">
        <f>Daily!AB55</f>
        <v>9</v>
      </c>
      <c r="H20" s="159">
        <f>Daily!AC55</f>
        <v>0</v>
      </c>
      <c r="I20" s="159">
        <f>Daily!AD55</f>
        <v>0</v>
      </c>
      <c r="J20" s="159">
        <f>Daily!AE55</f>
        <v>0</v>
      </c>
      <c r="K20" s="159">
        <f>Daily!AF55</f>
        <v>1</v>
      </c>
      <c r="L20" s="73" t="str">
        <f>Daily!AD43</f>
        <v>28/09-04/10/2026</v>
      </c>
    </row>
    <row r="21" spans="2:12" ht="15.6" customHeight="1" thickBot="1" x14ac:dyDescent="0.25">
      <c r="B21" s="84" t="s">
        <v>59</v>
      </c>
      <c r="C21" s="160">
        <f t="shared" ref="C21:K21" si="1">SUM(C14+C15+C16+C17+C18-C19-C20)</f>
        <v>1868</v>
      </c>
      <c r="D21" s="160">
        <f t="shared" si="1"/>
        <v>2</v>
      </c>
      <c r="E21" s="160">
        <f t="shared" si="1"/>
        <v>794</v>
      </c>
      <c r="F21" s="160">
        <f t="shared" si="1"/>
        <v>6</v>
      </c>
      <c r="G21" s="160">
        <f t="shared" si="1"/>
        <v>22</v>
      </c>
      <c r="H21" s="160">
        <f t="shared" si="1"/>
        <v>1</v>
      </c>
      <c r="I21" s="85">
        <f t="shared" si="1"/>
        <v>0</v>
      </c>
      <c r="J21" s="85">
        <f t="shared" si="1"/>
        <v>0</v>
      </c>
      <c r="K21" s="85">
        <f t="shared" si="1"/>
        <v>-1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2026-09-22T01:36:11Z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
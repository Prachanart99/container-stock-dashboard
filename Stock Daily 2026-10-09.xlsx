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C425429B-3A7C-4772-AB47-4CE6B4A13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J20" i="3"/>
  <c r="D20" i="3"/>
  <c r="C20" i="3"/>
  <c r="L19" i="3"/>
  <c r="K19" i="3"/>
  <c r="J19" i="3"/>
  <c r="H19" i="3"/>
  <c r="G19" i="3"/>
  <c r="D18" i="3"/>
  <c r="K15" i="3"/>
  <c r="J15" i="3"/>
  <c r="I15" i="3"/>
  <c r="H15" i="3"/>
  <c r="G15" i="3"/>
  <c r="F15" i="3"/>
  <c r="E15" i="3"/>
  <c r="D15" i="3"/>
  <c r="C15" i="3"/>
  <c r="K14" i="3"/>
  <c r="J14" i="3"/>
  <c r="J21" i="3" s="1"/>
  <c r="E14" i="3"/>
  <c r="D14" i="3"/>
  <c r="C14" i="3"/>
  <c r="L9" i="3"/>
  <c r="J9" i="3"/>
  <c r="I9" i="3"/>
  <c r="H9" i="3"/>
  <c r="G9" i="3"/>
  <c r="F9" i="3"/>
  <c r="E9" i="3"/>
  <c r="L8" i="3"/>
  <c r="J8" i="3"/>
  <c r="I8" i="3"/>
  <c r="H8" i="3"/>
  <c r="G8" i="3"/>
  <c r="F8" i="3"/>
  <c r="E8" i="3"/>
  <c r="D8" i="3"/>
  <c r="C8" i="3"/>
  <c r="K4" i="3"/>
  <c r="J4" i="3"/>
  <c r="I4" i="3"/>
  <c r="I10" i="3" s="1"/>
  <c r="H4" i="3"/>
  <c r="H10" i="3" s="1"/>
  <c r="G4" i="3"/>
  <c r="F4" i="3"/>
  <c r="E4" i="3"/>
  <c r="D4" i="3"/>
  <c r="C4" i="3"/>
  <c r="K3" i="3"/>
  <c r="J3" i="3"/>
  <c r="I3" i="3"/>
  <c r="H3" i="3"/>
  <c r="G3" i="3"/>
  <c r="F3" i="3"/>
  <c r="F10" i="3" s="1"/>
  <c r="E3" i="3"/>
  <c r="E10" i="3" s="1"/>
  <c r="I8" i="2"/>
  <c r="H8" i="2"/>
  <c r="G8" i="2"/>
  <c r="D8" i="2"/>
  <c r="C8" i="2"/>
  <c r="B8" i="2"/>
  <c r="AF55" i="1"/>
  <c r="AE55" i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X55" i="1"/>
  <c r="K55" i="1"/>
  <c r="K9" i="3" s="1"/>
  <c r="J55" i="1"/>
  <c r="I55" i="1"/>
  <c r="H55" i="1"/>
  <c r="G55" i="1"/>
  <c r="F55" i="1"/>
  <c r="E55" i="1"/>
  <c r="D55" i="1"/>
  <c r="D9" i="3" s="1"/>
  <c r="C55" i="1"/>
  <c r="C9" i="3" s="1"/>
  <c r="T45" i="1"/>
  <c r="AF41" i="1"/>
  <c r="AE41" i="1"/>
  <c r="AD41" i="1"/>
  <c r="I19" i="3" s="1"/>
  <c r="AC41" i="1"/>
  <c r="AB41" i="1"/>
  <c r="AA41" i="1"/>
  <c r="F19" i="3" s="1"/>
  <c r="Z41" i="1"/>
  <c r="E19" i="3" s="1"/>
  <c r="Y41" i="1"/>
  <c r="D19" i="3" s="1"/>
  <c r="X41" i="1"/>
  <c r="C19" i="3" s="1"/>
  <c r="K41" i="1"/>
  <c r="K8" i="3" s="1"/>
  <c r="J41" i="1"/>
  <c r="I41" i="1"/>
  <c r="H41" i="1"/>
  <c r="G41" i="1"/>
  <c r="F41" i="1"/>
  <c r="E41" i="1"/>
  <c r="D41" i="1"/>
  <c r="C41" i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L36" i="1"/>
  <c r="AL41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50" i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1" i="1" s="1"/>
  <c r="AJ35" i="1"/>
  <c r="AJ49" i="1" s="1"/>
  <c r="AJ55" i="1" s="1"/>
  <c r="AI35" i="1"/>
  <c r="AI49" i="1" s="1"/>
  <c r="AI55" i="1" s="1"/>
  <c r="AH35" i="1"/>
  <c r="AH41" i="1" s="1"/>
  <c r="AG35" i="1"/>
  <c r="AG41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1" i="1" s="1"/>
  <c r="R32" i="1"/>
  <c r="R41" i="1" s="1"/>
  <c r="Q32" i="1"/>
  <c r="P32" i="1"/>
  <c r="P46" i="1" s="1"/>
  <c r="O32" i="1"/>
  <c r="O46" i="1" s="1"/>
  <c r="N32" i="1"/>
  <c r="N46" i="1" s="1"/>
  <c r="M32" i="1"/>
  <c r="M46" i="1" s="1"/>
  <c r="L32" i="1"/>
  <c r="L41" i="1" s="1"/>
  <c r="T31" i="1"/>
  <c r="T41" i="1" s="1"/>
  <c r="S31" i="1"/>
  <c r="S45" i="1" s="1"/>
  <c r="R31" i="1"/>
  <c r="R45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AO15" i="1"/>
  <c r="AN15" i="1"/>
  <c r="AM15" i="1"/>
  <c r="I14" i="3" s="1"/>
  <c r="AL15" i="1"/>
  <c r="H14" i="3" s="1"/>
  <c r="H21" i="3" s="1"/>
  <c r="AK15" i="1"/>
  <c r="G14" i="3" s="1"/>
  <c r="G21" i="3" s="1"/>
  <c r="AJ15" i="1"/>
  <c r="F14" i="3" s="1"/>
  <c r="AI15" i="1"/>
  <c r="AH15" i="1"/>
  <c r="AG15" i="1"/>
  <c r="AF15" i="1"/>
  <c r="K18" i="3" s="1"/>
  <c r="K21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X15" i="1"/>
  <c r="C18" i="3" s="1"/>
  <c r="T15" i="1"/>
  <c r="S15" i="1"/>
  <c r="R15" i="1"/>
  <c r="Q15" i="1"/>
  <c r="P15" i="1"/>
  <c r="O15" i="1"/>
  <c r="N15" i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G10" i="3" s="1"/>
  <c r="F15" i="1"/>
  <c r="F7" i="3" s="1"/>
  <c r="E15" i="1"/>
  <c r="E7" i="3" s="1"/>
  <c r="D15" i="1"/>
  <c r="D7" i="3" s="1"/>
  <c r="C15" i="1"/>
  <c r="C7" i="3" s="1"/>
  <c r="R2" i="1"/>
  <c r="AM2" i="1" s="1"/>
  <c r="AM41" i="1" l="1"/>
  <c r="I21" i="3"/>
  <c r="S55" i="1"/>
  <c r="T55" i="1"/>
  <c r="C10" i="3"/>
  <c r="D10" i="3"/>
  <c r="D21" i="3"/>
  <c r="K10" i="3"/>
  <c r="AL50" i="1"/>
  <c r="AL55" i="1" s="1"/>
  <c r="M55" i="1"/>
  <c r="N55" i="1"/>
  <c r="Q41" i="1"/>
  <c r="O55" i="1"/>
  <c r="AM55" i="1"/>
  <c r="P55" i="1"/>
  <c r="AN55" i="1"/>
  <c r="C21" i="3"/>
  <c r="J10" i="3"/>
  <c r="E21" i="3"/>
  <c r="AO55" i="1"/>
  <c r="F21" i="3"/>
  <c r="L46" i="1"/>
  <c r="L55" i="1" s="1"/>
  <c r="Q46" i="1"/>
  <c r="Q55" i="1" s="1"/>
  <c r="AI41" i="1"/>
  <c r="AG49" i="1"/>
  <c r="AG55" i="1" s="1"/>
  <c r="AM50" i="1"/>
  <c r="M41" i="1"/>
  <c r="AN41" i="1"/>
  <c r="AH49" i="1"/>
  <c r="AH55" i="1" s="1"/>
  <c r="N41" i="1"/>
  <c r="AO41" i="1"/>
  <c r="P41" i="1"/>
  <c r="AK49" i="1"/>
  <c r="AK55" i="1" s="1"/>
  <c r="R46" i="1"/>
  <c r="R55" i="1" s="1"/>
  <c r="S46" i="1"/>
  <c r="AJ41" i="1"/>
  <c r="O41" i="1"/>
</calcChain>
</file>

<file path=xl/sharedStrings.xml><?xml version="1.0" encoding="utf-8"?>
<sst xmlns="http://schemas.openxmlformats.org/spreadsheetml/2006/main" count="305" uniqueCount="64">
  <si>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</si>
  <si>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</si>
  <si>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</si>
  <si>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</si>
  <si>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</si>
  <si>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</si>
  <si>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</si>
  <si>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</si>
  <si>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</si>
  <si>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</si>
  <si>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</si>
  <si>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</si>
  <si>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</si>
  <si>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</si>
  <si>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</si>
  <si>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</si>
  <si>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</si>
  <si>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</si>
  <si>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</si>
  <si>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</si>
  <si>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</si>
  <si>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</si>
  <si>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</si>
  <si>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</si>
  <si>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</si>
  <si>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</si>
  <si>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</si>
  <si>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</si>
  <si>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</si>
  <si>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</si>
  <si>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</si>
  <si>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</si>
  <si>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</si>
  <si>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</si>
  <si>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</si>
  <si>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</si>
  <si>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</si>
  <si>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</si>
  <si>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</si>
  <si>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</si>
  <si>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09-18/10/2026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</si>
  <si>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</si>
  <si>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</si>
  <si>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</si>
  <si>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</si>
  <si>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</si>
  <si>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19-25/10/2026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</si>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</sst>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5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2"/>
      <color theme="1"/>
      <name val="Aptos"/>
      <family val="2"/>
    </font>
    <font>
      <sz val="1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3" fillId="0" borderId="45" xfId="0" quotePrefix="1" applyNumberFormat="1" applyFont="1" applyBorder="1" applyAlignment="1">
      <alignment horizontal="center" vertical="center"/>
    </xf>
    <xf numFmtId="0" fontId="24" fillId="0" borderId="44" xfId="0" applyFont="1" applyBorder="1"/>
    <xf numFmtId="0" fontId="24" fillId="0" borderId="45" xfId="0" applyFont="1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46304</v>
      </c>
      <c r="AM1" s="183"/>
      <c r="AN1" s="183"/>
      <c r="AO1" s="184"/>
    </row>
    <row r="2" spans="1:44" ht="15" customHeight="1" x14ac:dyDescent="0.2">
      <c r="A2" s="175" t="s">
        <v>2</v>
      </c>
      <c r="B2" s="176"/>
      <c r="C2" s="186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7">
        <f>AL1</f>
        <v>46304</v>
      </c>
      <c r="S2" s="165"/>
      <c r="T2" s="166"/>
      <c r="U2" s="2"/>
      <c r="V2" s="175" t="s">
        <v>2</v>
      </c>
      <c r="W2" s="176"/>
      <c r="X2" s="186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7">
        <f>R2</f>
        <v>46304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170</v>
      </c>
      <c r="D4" s="111"/>
      <c r="E4" s="111">
        <v>131</v>
      </c>
      <c r="F4" s="111">
        <v>6</v>
      </c>
      <c r="G4" s="111">
        <v>5</v>
      </c>
      <c r="H4" s="111"/>
      <c r="I4" s="111"/>
      <c r="J4" s="111"/>
      <c r="K4" s="112"/>
      <c r="L4" s="113">
        <v>20</v>
      </c>
      <c r="M4" s="114"/>
      <c r="N4" s="114">
        <v>38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37</v>
      </c>
      <c r="Y4" s="111"/>
      <c r="Z4" s="111">
        <v>41</v>
      </c>
      <c r="AA4" s="111"/>
      <c r="AB4" s="111">
        <v>1</v>
      </c>
      <c r="AC4" s="111"/>
      <c r="AD4" s="111"/>
      <c r="AE4" s="111"/>
      <c r="AF4" s="112"/>
      <c r="AG4" s="116">
        <v>8</v>
      </c>
      <c r="AH4" s="111"/>
      <c r="AI4" s="111">
        <v>25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12</v>
      </c>
      <c r="D5" s="119"/>
      <c r="E5" s="119">
        <v>8</v>
      </c>
      <c r="F5" s="119"/>
      <c r="G5" s="119"/>
      <c r="H5" s="119"/>
      <c r="I5" s="119"/>
      <c r="J5" s="119"/>
      <c r="K5" s="120"/>
      <c r="L5" s="121">
        <v>52</v>
      </c>
      <c r="M5" s="119"/>
      <c r="N5" s="119">
        <v>8</v>
      </c>
      <c r="O5" s="119">
        <v>6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15</v>
      </c>
      <c r="Y5" s="119"/>
      <c r="Z5" s="119">
        <v>51</v>
      </c>
      <c r="AA5" s="119">
        <v>1</v>
      </c>
      <c r="AB5" s="119">
        <v>2</v>
      </c>
      <c r="AC5" s="119"/>
      <c r="AD5" s="119"/>
      <c r="AE5" s="119"/>
      <c r="AF5" s="120"/>
      <c r="AG5" s="121">
        <v>87</v>
      </c>
      <c r="AH5" s="119"/>
      <c r="AI5" s="119">
        <v>1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7</v>
      </c>
      <c r="D6" s="119"/>
      <c r="E6" s="119">
        <v>14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2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1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38</v>
      </c>
      <c r="Y7" s="119"/>
      <c r="Z7" s="119">
        <v>54</v>
      </c>
      <c r="AA7" s="119"/>
      <c r="AB7" s="119"/>
      <c r="AC7" s="119"/>
      <c r="AD7" s="119"/>
      <c r="AE7" s="119"/>
      <c r="AF7" s="120"/>
      <c r="AG7" s="121">
        <v>66</v>
      </c>
      <c r="AH7" s="119"/>
      <c r="AI7" s="119">
        <v>2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702</v>
      </c>
      <c r="M8" s="127"/>
      <c r="N8" s="127">
        <v>846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889</v>
      </c>
      <c r="AH8" s="127"/>
      <c r="AI8" s="127">
        <v>289</v>
      </c>
      <c r="AJ8" s="127">
        <v>7</v>
      </c>
      <c r="AK8" s="127">
        <v>53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817</v>
      </c>
      <c r="M9" s="127">
        <v>5</v>
      </c>
      <c r="N9" s="127">
        <v>462</v>
      </c>
      <c r="O9" s="127">
        <v>34</v>
      </c>
      <c r="P9" s="127">
        <v>38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22</v>
      </c>
      <c r="AH9" s="127"/>
      <c r="AI9" s="127">
        <v>22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1075</v>
      </c>
      <c r="AH10" s="127">
        <v>2</v>
      </c>
      <c r="AI10" s="127">
        <v>815</v>
      </c>
      <c r="AJ10" s="127"/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>
        <v>211</v>
      </c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48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35</v>
      </c>
      <c r="B15" s="180"/>
      <c r="C15" s="44">
        <f t="shared" ref="C15:T15" si="0">SUM(C4:C14)</f>
        <v>190</v>
      </c>
      <c r="D15" s="45">
        <f t="shared" si="0"/>
        <v>0</v>
      </c>
      <c r="E15" s="45">
        <f t="shared" si="0"/>
        <v>153</v>
      </c>
      <c r="F15" s="45">
        <f t="shared" si="0"/>
        <v>6</v>
      </c>
      <c r="G15" s="45">
        <f t="shared" si="0"/>
        <v>6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1802</v>
      </c>
      <c r="M15" s="48">
        <f t="shared" si="0"/>
        <v>5</v>
      </c>
      <c r="N15" s="48">
        <f t="shared" si="0"/>
        <v>1368</v>
      </c>
      <c r="O15" s="48">
        <f t="shared" si="0"/>
        <v>40</v>
      </c>
      <c r="P15" s="48">
        <f t="shared" si="0"/>
        <v>38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36</v>
      </c>
      <c r="W15" s="180"/>
      <c r="X15" s="44">
        <f t="shared" ref="X15:AF15" si="1">SUM(X4:X14)</f>
        <v>92</v>
      </c>
      <c r="Y15" s="45">
        <f t="shared" si="1"/>
        <v>0</v>
      </c>
      <c r="Z15" s="45">
        <f t="shared" si="1"/>
        <v>148</v>
      </c>
      <c r="AA15" s="45">
        <f t="shared" si="1"/>
        <v>1</v>
      </c>
      <c r="AB15" s="45">
        <f t="shared" si="1"/>
        <v>3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2147</v>
      </c>
      <c r="AH15" s="48">
        <f t="shared" si="2"/>
        <v>2</v>
      </c>
      <c r="AI15" s="48">
        <f t="shared" si="2"/>
        <v>1154</v>
      </c>
      <c r="AJ15" s="48">
        <f t="shared" si="2"/>
        <v>7</v>
      </c>
      <c r="AK15" s="48">
        <f t="shared" si="2"/>
        <v>53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5" t="s">
        <v>37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5" t="s">
        <v>37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39</v>
      </c>
      <c r="D29" s="165"/>
      <c r="E29" s="165"/>
      <c r="F29" s="165"/>
      <c r="G29" s="165"/>
      <c r="H29" s="173"/>
      <c r="I29" s="164" t="s">
        <v>40</v>
      </c>
      <c r="J29" s="165"/>
      <c r="K29" s="166"/>
      <c r="L29" s="174" t="s">
        <v>41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42</v>
      </c>
      <c r="Y29" s="165"/>
      <c r="Z29" s="165"/>
      <c r="AA29" s="165"/>
      <c r="AB29" s="165"/>
      <c r="AC29" s="173"/>
      <c r="AD29" s="164" t="s">
        <v>40</v>
      </c>
      <c r="AE29" s="165"/>
      <c r="AF29" s="166"/>
      <c r="AG29" s="174" t="s">
        <v>43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21</v>
      </c>
      <c r="D31" s="111"/>
      <c r="E31" s="111">
        <v>41</v>
      </c>
      <c r="F31" s="111"/>
      <c r="G31" s="111"/>
      <c r="H31" s="111"/>
      <c r="I31" s="111"/>
      <c r="J31" s="111"/>
      <c r="K31" s="112"/>
      <c r="L31" s="129">
        <f t="shared" ref="L31:L40" si="3">SUM(L4-C31)</f>
        <v>-1</v>
      </c>
      <c r="M31" s="130">
        <f t="shared" ref="M31:M40" si="4">SUM(M4-D31)</f>
        <v>0</v>
      </c>
      <c r="N31" s="131">
        <f t="shared" ref="N31:N40" si="5">SUM(N4-E31)</f>
        <v>-3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/>
      <c r="AH31" s="130"/>
      <c r="AI31" s="130"/>
      <c r="AJ31" s="130"/>
      <c r="AK31" s="130"/>
      <c r="AL31" s="130"/>
      <c r="AM31" s="130"/>
      <c r="AN31" s="130"/>
      <c r="AO31" s="132"/>
    </row>
    <row r="32" spans="1:41" ht="15" customHeight="1" x14ac:dyDescent="0.2">
      <c r="A32" s="33" t="s">
        <v>19</v>
      </c>
      <c r="B32" s="34" t="s">
        <v>17</v>
      </c>
      <c r="C32" s="118">
        <v>51</v>
      </c>
      <c r="D32" s="119"/>
      <c r="E32" s="119">
        <v>2</v>
      </c>
      <c r="F32" s="119">
        <v>6</v>
      </c>
      <c r="G32" s="119"/>
      <c r="H32" s="119"/>
      <c r="I32" s="119"/>
      <c r="J32" s="119"/>
      <c r="K32" s="120"/>
      <c r="L32" s="137">
        <f t="shared" si="3"/>
        <v>1</v>
      </c>
      <c r="M32" s="138">
        <f t="shared" si="4"/>
        <v>0</v>
      </c>
      <c r="N32" s="138">
        <f t="shared" si="5"/>
        <v>6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/>
      <c r="AH32" s="138"/>
      <c r="AI32" s="138"/>
      <c r="AJ32" s="138"/>
      <c r="AK32" s="138"/>
      <c r="AL32" s="138"/>
      <c r="AM32" s="138"/>
      <c r="AN32" s="138"/>
      <c r="AO32" s="139"/>
    </row>
    <row r="33" spans="1:45" ht="15" customHeight="1" x14ac:dyDescent="0.2">
      <c r="A33" s="16" t="s">
        <v>21</v>
      </c>
      <c r="B33" s="34" t="s">
        <v>22</v>
      </c>
      <c r="C33" s="118">
        <v>1</v>
      </c>
      <c r="D33" s="119"/>
      <c r="E33" s="119"/>
      <c r="F33" s="119"/>
      <c r="G33" s="119"/>
      <c r="H33" s="119"/>
      <c r="I33" s="119"/>
      <c r="J33" s="119"/>
      <c r="K33" s="120"/>
      <c r="L33" s="143">
        <f t="shared" si="3"/>
        <v>-1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/>
      <c r="AH33" s="138"/>
      <c r="AI33" s="138"/>
      <c r="AJ33" s="138"/>
      <c r="AK33" s="138"/>
      <c r="AL33" s="138"/>
      <c r="AM33" s="138"/>
      <c r="AN33" s="138"/>
      <c r="AO33" s="139"/>
    </row>
    <row r="34" spans="1:45" ht="15" customHeight="1" x14ac:dyDescent="0.2">
      <c r="A34" s="108" t="s">
        <v>24</v>
      </c>
      <c r="B34" s="109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/>
      <c r="AH34" s="138"/>
      <c r="AI34" s="138"/>
      <c r="AJ34" s="138"/>
      <c r="AK34" s="138"/>
      <c r="AL34" s="138"/>
      <c r="AM34" s="138"/>
      <c r="AN34" s="138"/>
      <c r="AO34" s="139"/>
    </row>
    <row r="35" spans="1:45" ht="15" customHeight="1" x14ac:dyDescent="0.2">
      <c r="A35" s="33" t="s">
        <v>26</v>
      </c>
      <c r="B35" s="34" t="s">
        <v>27</v>
      </c>
      <c r="C35" s="144">
        <v>114</v>
      </c>
      <c r="D35" s="127"/>
      <c r="E35" s="127">
        <v>29</v>
      </c>
      <c r="F35" s="127"/>
      <c r="G35" s="127"/>
      <c r="H35" s="127"/>
      <c r="I35" s="127"/>
      <c r="J35" s="127"/>
      <c r="K35" s="145"/>
      <c r="L35" s="146">
        <f t="shared" si="3"/>
        <v>588</v>
      </c>
      <c r="M35" s="147">
        <f t="shared" si="4"/>
        <v>0</v>
      </c>
      <c r="N35" s="147">
        <f t="shared" si="5"/>
        <v>817</v>
      </c>
      <c r="O35" s="147">
        <f t="shared" si="6"/>
        <v>0</v>
      </c>
      <c r="P35" s="147">
        <f t="shared" si="7"/>
        <v>0</v>
      </c>
      <c r="Q35" s="147">
        <f t="shared" si="8"/>
        <v>0</v>
      </c>
      <c r="R35" s="147">
        <f t="shared" si="9"/>
        <v>0</v>
      </c>
      <c r="S35" s="147">
        <f t="shared" si="10"/>
        <v>0</v>
      </c>
      <c r="T35" s="148">
        <f t="shared" si="11"/>
        <v>0</v>
      </c>
      <c r="V35" s="25" t="s">
        <v>28</v>
      </c>
      <c r="W35" s="26" t="s">
        <v>27</v>
      </c>
      <c r="X35" s="144">
        <v>117</v>
      </c>
      <c r="Y35" s="127"/>
      <c r="Z35" s="127">
        <v>90</v>
      </c>
      <c r="AA35" s="127">
        <v>1</v>
      </c>
      <c r="AB35" s="127">
        <v>48</v>
      </c>
      <c r="AC35" s="127"/>
      <c r="AD35" s="127"/>
      <c r="AE35" s="127"/>
      <c r="AF35" s="145"/>
      <c r="AG35" s="146">
        <f t="shared" ref="AG35:AO40" si="12">SUM(AG8-X35)</f>
        <v>772</v>
      </c>
      <c r="AH35" s="147">
        <f t="shared" si="12"/>
        <v>0</v>
      </c>
      <c r="AI35" s="147">
        <f t="shared" si="12"/>
        <v>199</v>
      </c>
      <c r="AJ35" s="147">
        <f t="shared" si="12"/>
        <v>6</v>
      </c>
      <c r="AK35" s="147">
        <f t="shared" si="12"/>
        <v>5</v>
      </c>
      <c r="AL35" s="147">
        <f t="shared" si="12"/>
        <v>0</v>
      </c>
      <c r="AM35" s="147">
        <f t="shared" si="12"/>
        <v>0</v>
      </c>
      <c r="AN35" s="147">
        <f t="shared" si="12"/>
        <v>0</v>
      </c>
      <c r="AO35" s="148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4">
        <v>299</v>
      </c>
      <c r="D36" s="127"/>
      <c r="E36" s="127">
        <v>279</v>
      </c>
      <c r="F36" s="127">
        <v>5</v>
      </c>
      <c r="G36" s="127">
        <v>26</v>
      </c>
      <c r="H36" s="127"/>
      <c r="I36" s="127"/>
      <c r="J36" s="127"/>
      <c r="K36" s="145"/>
      <c r="L36" s="146">
        <f t="shared" si="3"/>
        <v>518</v>
      </c>
      <c r="M36" s="147">
        <f t="shared" si="4"/>
        <v>5</v>
      </c>
      <c r="N36" s="147">
        <f t="shared" si="5"/>
        <v>183</v>
      </c>
      <c r="O36" s="147">
        <f t="shared" si="6"/>
        <v>29</v>
      </c>
      <c r="P36" s="147">
        <v>17</v>
      </c>
      <c r="Q36" s="147">
        <f t="shared" si="8"/>
        <v>0</v>
      </c>
      <c r="R36" s="147">
        <f t="shared" si="9"/>
        <v>0</v>
      </c>
      <c r="S36" s="147">
        <f t="shared" si="10"/>
        <v>0</v>
      </c>
      <c r="T36" s="148">
        <f t="shared" si="11"/>
        <v>0</v>
      </c>
      <c r="V36" s="25" t="s">
        <v>30</v>
      </c>
      <c r="W36" s="26" t="s">
        <v>27</v>
      </c>
      <c r="X36" s="144">
        <v>5</v>
      </c>
      <c r="Y36" s="127"/>
      <c r="Z36" s="127">
        <v>6</v>
      </c>
      <c r="AA36" s="127"/>
      <c r="AB36" s="127"/>
      <c r="AC36" s="127"/>
      <c r="AD36" s="127"/>
      <c r="AE36" s="127"/>
      <c r="AF36" s="145"/>
      <c r="AG36" s="146">
        <f t="shared" si="12"/>
        <v>17</v>
      </c>
      <c r="AH36" s="147">
        <f t="shared" si="12"/>
        <v>0</v>
      </c>
      <c r="AI36" s="147">
        <f t="shared" si="12"/>
        <v>16</v>
      </c>
      <c r="AJ36" s="147">
        <f t="shared" si="12"/>
        <v>0</v>
      </c>
      <c r="AK36" s="147">
        <f t="shared" si="12"/>
        <v>0</v>
      </c>
      <c r="AL36" s="147">
        <f t="shared" si="12"/>
        <v>0</v>
      </c>
      <c r="AM36" s="147">
        <f t="shared" si="12"/>
        <v>0</v>
      </c>
      <c r="AN36" s="147">
        <f t="shared" si="12"/>
        <v>0</v>
      </c>
      <c r="AO36" s="148">
        <f t="shared" si="12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9">
        <f t="shared" si="3"/>
        <v>0</v>
      </c>
      <c r="M37" s="150">
        <f t="shared" si="4"/>
        <v>0</v>
      </c>
      <c r="N37" s="150">
        <f t="shared" si="5"/>
        <v>0</v>
      </c>
      <c r="O37" s="150">
        <f t="shared" si="6"/>
        <v>0</v>
      </c>
      <c r="P37" s="150">
        <f t="shared" si="7"/>
        <v>0</v>
      </c>
      <c r="Q37" s="150">
        <f t="shared" si="8"/>
        <v>0</v>
      </c>
      <c r="R37" s="150">
        <f t="shared" si="9"/>
        <v>0</v>
      </c>
      <c r="S37" s="150">
        <f t="shared" si="10"/>
        <v>0</v>
      </c>
      <c r="T37" s="151">
        <f t="shared" si="11"/>
        <v>0</v>
      </c>
      <c r="V37" s="25" t="s">
        <v>31</v>
      </c>
      <c r="W37" s="26" t="s">
        <v>27</v>
      </c>
      <c r="X37" s="144">
        <v>462</v>
      </c>
      <c r="Y37" s="127"/>
      <c r="Z37" s="127">
        <v>315</v>
      </c>
      <c r="AA37" s="127"/>
      <c r="AB37" s="127"/>
      <c r="AC37" s="127">
        <v>1</v>
      </c>
      <c r="AD37" s="127">
        <v>1</v>
      </c>
      <c r="AE37" s="127">
        <v>1</v>
      </c>
      <c r="AF37" s="145"/>
      <c r="AG37" s="146">
        <f t="shared" si="12"/>
        <v>613</v>
      </c>
      <c r="AH37" s="147">
        <f t="shared" si="12"/>
        <v>2</v>
      </c>
      <c r="AI37" s="147">
        <f t="shared" si="12"/>
        <v>500</v>
      </c>
      <c r="AJ37" s="147">
        <f t="shared" si="12"/>
        <v>0</v>
      </c>
      <c r="AK37" s="147">
        <f t="shared" si="12"/>
        <v>0</v>
      </c>
      <c r="AL37" s="147">
        <f t="shared" si="12"/>
        <v>0</v>
      </c>
      <c r="AM37" s="147">
        <f t="shared" si="12"/>
        <v>1</v>
      </c>
      <c r="AN37" s="147">
        <f t="shared" si="12"/>
        <v>2</v>
      </c>
      <c r="AO37" s="148">
        <f t="shared" si="12"/>
        <v>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9">
        <f t="shared" si="3"/>
        <v>0</v>
      </c>
      <c r="M38" s="150">
        <f t="shared" si="4"/>
        <v>0</v>
      </c>
      <c r="N38" s="150">
        <f t="shared" si="5"/>
        <v>0</v>
      </c>
      <c r="O38" s="150">
        <f t="shared" si="6"/>
        <v>0</v>
      </c>
      <c r="P38" s="150">
        <f t="shared" si="7"/>
        <v>0</v>
      </c>
      <c r="Q38" s="150">
        <f t="shared" si="8"/>
        <v>0</v>
      </c>
      <c r="R38" s="150">
        <f t="shared" si="9"/>
        <v>0</v>
      </c>
      <c r="S38" s="150">
        <f t="shared" si="10"/>
        <v>0</v>
      </c>
      <c r="T38" s="151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9">
        <f t="shared" si="12"/>
        <v>0</v>
      </c>
      <c r="AH38" s="150">
        <f t="shared" si="12"/>
        <v>0</v>
      </c>
      <c r="AI38" s="150">
        <f t="shared" si="12"/>
        <v>0</v>
      </c>
      <c r="AJ38" s="150">
        <f t="shared" si="12"/>
        <v>0</v>
      </c>
      <c r="AK38" s="150">
        <f t="shared" si="12"/>
        <v>0</v>
      </c>
      <c r="AL38" s="150">
        <f t="shared" si="12"/>
        <v>0</v>
      </c>
      <c r="AM38" s="150">
        <f t="shared" si="12"/>
        <v>0</v>
      </c>
      <c r="AN38" s="150">
        <f t="shared" si="12"/>
        <v>0</v>
      </c>
      <c r="AO38" s="151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9">
        <f t="shared" si="3"/>
        <v>0</v>
      </c>
      <c r="M39" s="150">
        <f t="shared" si="4"/>
        <v>0</v>
      </c>
      <c r="N39" s="150">
        <f t="shared" si="5"/>
        <v>0</v>
      </c>
      <c r="O39" s="150">
        <f t="shared" si="6"/>
        <v>0</v>
      </c>
      <c r="P39" s="150">
        <f t="shared" si="7"/>
        <v>0</v>
      </c>
      <c r="Q39" s="150">
        <f t="shared" si="8"/>
        <v>0</v>
      </c>
      <c r="R39" s="150">
        <f t="shared" si="9"/>
        <v>0</v>
      </c>
      <c r="S39" s="150">
        <f t="shared" si="10"/>
        <v>0</v>
      </c>
      <c r="T39" s="151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9">
        <f t="shared" si="12"/>
        <v>0</v>
      </c>
      <c r="AH39" s="150">
        <f t="shared" si="12"/>
        <v>0</v>
      </c>
      <c r="AI39" s="150">
        <f t="shared" si="12"/>
        <v>0</v>
      </c>
      <c r="AJ39" s="150">
        <f t="shared" si="12"/>
        <v>0</v>
      </c>
      <c r="AK39" s="150">
        <f t="shared" si="12"/>
        <v>0</v>
      </c>
      <c r="AL39" s="150">
        <f t="shared" si="12"/>
        <v>0</v>
      </c>
      <c r="AM39" s="150">
        <f t="shared" si="12"/>
        <v>0</v>
      </c>
      <c r="AN39" s="150">
        <f t="shared" si="12"/>
        <v>0</v>
      </c>
      <c r="AO39" s="151">
        <f t="shared" si="12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2">
        <f t="shared" si="3"/>
        <v>0</v>
      </c>
      <c r="M40" s="153">
        <f t="shared" si="4"/>
        <v>0</v>
      </c>
      <c r="N40" s="153">
        <f t="shared" si="5"/>
        <v>0</v>
      </c>
      <c r="O40" s="153">
        <f t="shared" si="6"/>
        <v>0</v>
      </c>
      <c r="P40" s="153">
        <f t="shared" si="7"/>
        <v>0</v>
      </c>
      <c r="Q40" s="153">
        <f t="shared" si="8"/>
        <v>0</v>
      </c>
      <c r="R40" s="153">
        <f t="shared" si="9"/>
        <v>0</v>
      </c>
      <c r="S40" s="153">
        <f t="shared" si="10"/>
        <v>0</v>
      </c>
      <c r="T40" s="154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9">
        <f t="shared" si="12"/>
        <v>0</v>
      </c>
      <c r="AH40" s="150">
        <f t="shared" si="12"/>
        <v>0</v>
      </c>
      <c r="AI40" s="150">
        <f t="shared" si="12"/>
        <v>0</v>
      </c>
      <c r="AJ40" s="150">
        <f t="shared" si="12"/>
        <v>0</v>
      </c>
      <c r="AK40" s="150">
        <f t="shared" si="12"/>
        <v>0</v>
      </c>
      <c r="AL40" s="150">
        <f t="shared" si="12"/>
        <v>0</v>
      </c>
      <c r="AM40" s="150">
        <f t="shared" si="12"/>
        <v>0</v>
      </c>
      <c r="AN40" s="150">
        <f t="shared" si="12"/>
        <v>0</v>
      </c>
      <c r="AO40" s="151">
        <f t="shared" si="12"/>
        <v>0</v>
      </c>
    </row>
    <row r="41" spans="1:45" ht="15" customHeight="1" thickBot="1" x14ac:dyDescent="0.25">
      <c r="A41" s="179"/>
      <c r="B41" s="180"/>
      <c r="C41" s="60">
        <f t="shared" ref="C41:T41" si="13">SUM(C31:C40)</f>
        <v>486</v>
      </c>
      <c r="D41" s="61">
        <f t="shared" si="13"/>
        <v>0</v>
      </c>
      <c r="E41" s="61">
        <f t="shared" si="13"/>
        <v>351</v>
      </c>
      <c r="F41" s="61">
        <f t="shared" si="13"/>
        <v>11</v>
      </c>
      <c r="G41" s="61">
        <f t="shared" si="13"/>
        <v>26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1105</v>
      </c>
      <c r="M41" s="48">
        <f t="shared" si="13"/>
        <v>5</v>
      </c>
      <c r="N41" s="48">
        <f t="shared" si="13"/>
        <v>1017</v>
      </c>
      <c r="O41" s="48">
        <f t="shared" si="13"/>
        <v>29</v>
      </c>
      <c r="P41" s="48">
        <f t="shared" si="13"/>
        <v>17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36</v>
      </c>
      <c r="W41" s="180"/>
      <c r="X41" s="60">
        <f t="shared" ref="X41:AO41" si="14">SUM(X31:X40)</f>
        <v>584</v>
      </c>
      <c r="Y41" s="61">
        <f t="shared" si="14"/>
        <v>0</v>
      </c>
      <c r="Z41" s="61">
        <f t="shared" si="14"/>
        <v>411</v>
      </c>
      <c r="AA41" s="61">
        <f t="shared" si="14"/>
        <v>1</v>
      </c>
      <c r="AB41" s="61">
        <f t="shared" si="14"/>
        <v>48</v>
      </c>
      <c r="AC41" s="61">
        <f t="shared" si="14"/>
        <v>1</v>
      </c>
      <c r="AD41" s="61">
        <f t="shared" si="14"/>
        <v>1</v>
      </c>
      <c r="AE41" s="61">
        <f t="shared" si="14"/>
        <v>1</v>
      </c>
      <c r="AF41" s="68">
        <f t="shared" si="14"/>
        <v>0</v>
      </c>
      <c r="AG41" s="47">
        <f t="shared" si="14"/>
        <v>1402</v>
      </c>
      <c r="AH41" s="48">
        <f t="shared" si="14"/>
        <v>2</v>
      </c>
      <c r="AI41" s="48">
        <f t="shared" si="14"/>
        <v>715</v>
      </c>
      <c r="AJ41" s="48">
        <f t="shared" si="14"/>
        <v>6</v>
      </c>
      <c r="AK41" s="48">
        <f t="shared" si="14"/>
        <v>5</v>
      </c>
      <c r="AL41" s="48">
        <f t="shared" si="14"/>
        <v>0</v>
      </c>
      <c r="AM41" s="48">
        <f t="shared" si="14"/>
        <v>1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45</v>
      </c>
      <c r="D43" s="165"/>
      <c r="E43" s="165"/>
      <c r="F43" s="165"/>
      <c r="G43" s="165"/>
      <c r="H43" s="173"/>
      <c r="I43" s="181" t="s">
        <v>46</v>
      </c>
      <c r="J43" s="165"/>
      <c r="K43" s="166"/>
      <c r="L43" s="174" t="s">
        <v>47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48</v>
      </c>
      <c r="Y43" s="165"/>
      <c r="Z43" s="165"/>
      <c r="AA43" s="165"/>
      <c r="AB43" s="165"/>
      <c r="AC43" s="173"/>
      <c r="AD43" s="181" t="s">
        <v>46</v>
      </c>
      <c r="AE43" s="165"/>
      <c r="AF43" s="166"/>
      <c r="AG43" s="174" t="s">
        <v>49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36</v>
      </c>
      <c r="D45" s="111"/>
      <c r="E45" s="111">
        <v>34</v>
      </c>
      <c r="F45" s="111"/>
      <c r="G45" s="111"/>
      <c r="H45" s="111"/>
      <c r="I45" s="111"/>
      <c r="J45" s="111"/>
      <c r="K45" s="112"/>
      <c r="L45" s="129">
        <f t="shared" ref="L45:L54" si="15">SUM(L31-C45)</f>
        <v>-37</v>
      </c>
      <c r="M45" s="130">
        <f t="shared" ref="M45:M54" si="16">SUM(M31-D45)</f>
        <v>0</v>
      </c>
      <c r="N45" s="131">
        <f t="shared" ref="N45:N54" si="17">SUM(N31-E45)</f>
        <v>-37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2">
        <f t="shared" ref="T45:T54" si="23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/>
      <c r="AH45" s="130"/>
      <c r="AI45" s="130"/>
      <c r="AJ45" s="130"/>
      <c r="AK45" s="130"/>
      <c r="AL45" s="130"/>
      <c r="AM45" s="130"/>
      <c r="AN45" s="130"/>
      <c r="AO45" s="132"/>
    </row>
    <row r="46" spans="1:45" ht="15" customHeight="1" x14ac:dyDescent="0.2">
      <c r="A46" s="33" t="s">
        <v>19</v>
      </c>
      <c r="B46" s="34" t="s">
        <v>17</v>
      </c>
      <c r="C46" s="118"/>
      <c r="D46" s="119"/>
      <c r="E46" s="119"/>
      <c r="F46" s="119"/>
      <c r="G46" s="119"/>
      <c r="H46" s="119"/>
      <c r="I46" s="119"/>
      <c r="J46" s="119"/>
      <c r="K46" s="120"/>
      <c r="L46" s="137">
        <f t="shared" si="15"/>
        <v>1</v>
      </c>
      <c r="M46" s="138">
        <f t="shared" si="16"/>
        <v>0</v>
      </c>
      <c r="N46" s="138">
        <f t="shared" si="17"/>
        <v>6</v>
      </c>
      <c r="O46" s="138">
        <f t="shared" si="18"/>
        <v>0</v>
      </c>
      <c r="P46" s="138">
        <f t="shared" si="19"/>
        <v>0</v>
      </c>
      <c r="Q46" s="138">
        <f t="shared" si="20"/>
        <v>0</v>
      </c>
      <c r="R46" s="138">
        <f t="shared" si="21"/>
        <v>0</v>
      </c>
      <c r="S46" s="138">
        <f t="shared" si="22"/>
        <v>0</v>
      </c>
      <c r="T46" s="139">
        <f t="shared" si="23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/>
      <c r="AH46" s="138"/>
      <c r="AI46" s="138"/>
      <c r="AJ46" s="138"/>
      <c r="AK46" s="138"/>
      <c r="AL46" s="138"/>
      <c r="AM46" s="138"/>
      <c r="AN46" s="138"/>
      <c r="AO46" s="139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43">
        <f t="shared" si="15"/>
        <v>-1</v>
      </c>
      <c r="M47" s="138">
        <f t="shared" si="16"/>
        <v>0</v>
      </c>
      <c r="N47" s="138">
        <f t="shared" si="17"/>
        <v>14</v>
      </c>
      <c r="O47" s="138">
        <f t="shared" si="18"/>
        <v>0</v>
      </c>
      <c r="P47" s="138">
        <f t="shared" si="19"/>
        <v>0</v>
      </c>
      <c r="Q47" s="138">
        <f t="shared" si="20"/>
        <v>0</v>
      </c>
      <c r="R47" s="138">
        <f t="shared" si="21"/>
        <v>0</v>
      </c>
      <c r="S47" s="138">
        <f t="shared" si="22"/>
        <v>0</v>
      </c>
      <c r="T47" s="139">
        <f t="shared" si="23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/>
      <c r="AH47" s="138"/>
      <c r="AI47" s="138"/>
      <c r="AJ47" s="138"/>
      <c r="AK47" s="138"/>
      <c r="AL47" s="138"/>
      <c r="AM47" s="138"/>
      <c r="AN47" s="138"/>
      <c r="AO47" s="139"/>
    </row>
    <row r="48" spans="1:45" ht="15" customHeight="1" x14ac:dyDescent="0.2">
      <c r="A48" s="108" t="s">
        <v>24</v>
      </c>
      <c r="B48" s="109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15"/>
        <v>0</v>
      </c>
      <c r="M48" s="138">
        <f t="shared" si="16"/>
        <v>0</v>
      </c>
      <c r="N48" s="138">
        <f t="shared" si="17"/>
        <v>0</v>
      </c>
      <c r="O48" s="138">
        <f t="shared" si="18"/>
        <v>0</v>
      </c>
      <c r="P48" s="138">
        <f t="shared" si="19"/>
        <v>0</v>
      </c>
      <c r="Q48" s="138">
        <f t="shared" si="20"/>
        <v>0</v>
      </c>
      <c r="R48" s="138">
        <f t="shared" si="21"/>
        <v>0</v>
      </c>
      <c r="S48" s="138">
        <f t="shared" si="22"/>
        <v>0</v>
      </c>
      <c r="T48" s="139">
        <f t="shared" si="23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/>
      <c r="AH48" s="138"/>
      <c r="AI48" s="138"/>
      <c r="AJ48" s="138"/>
      <c r="AK48" s="138"/>
      <c r="AL48" s="138"/>
      <c r="AM48" s="138"/>
      <c r="AN48" s="138"/>
      <c r="AO48" s="139"/>
    </row>
    <row r="49" spans="1:41" ht="15" customHeight="1" x14ac:dyDescent="0.2">
      <c r="A49" s="33" t="s">
        <v>26</v>
      </c>
      <c r="B49" s="34" t="s">
        <v>27</v>
      </c>
      <c r="C49" s="144">
        <v>23</v>
      </c>
      <c r="D49" s="127"/>
      <c r="E49" s="127">
        <v>13</v>
      </c>
      <c r="F49" s="127"/>
      <c r="G49" s="127"/>
      <c r="H49" s="127"/>
      <c r="I49" s="127"/>
      <c r="J49" s="127"/>
      <c r="K49" s="145"/>
      <c r="L49" s="146">
        <f t="shared" si="15"/>
        <v>565</v>
      </c>
      <c r="M49" s="147">
        <f t="shared" si="16"/>
        <v>0</v>
      </c>
      <c r="N49" s="147">
        <f t="shared" si="17"/>
        <v>804</v>
      </c>
      <c r="O49" s="147">
        <f t="shared" si="18"/>
        <v>0</v>
      </c>
      <c r="P49" s="147">
        <f t="shared" si="19"/>
        <v>0</v>
      </c>
      <c r="Q49" s="147">
        <f t="shared" si="20"/>
        <v>0</v>
      </c>
      <c r="R49" s="147">
        <f t="shared" si="21"/>
        <v>0</v>
      </c>
      <c r="S49" s="147">
        <f t="shared" si="22"/>
        <v>0</v>
      </c>
      <c r="T49" s="148">
        <f t="shared" si="23"/>
        <v>0</v>
      </c>
      <c r="V49" s="25" t="s">
        <v>28</v>
      </c>
      <c r="W49" s="26" t="s">
        <v>27</v>
      </c>
      <c r="X49" s="144">
        <v>85</v>
      </c>
      <c r="Y49" s="127"/>
      <c r="Z49" s="127">
        <v>14</v>
      </c>
      <c r="AA49" s="127">
        <v>1</v>
      </c>
      <c r="AB49" s="127">
        <v>15</v>
      </c>
      <c r="AC49" s="127"/>
      <c r="AD49" s="127"/>
      <c r="AE49" s="127"/>
      <c r="AF49" s="145"/>
      <c r="AG49" s="146">
        <f t="shared" ref="AG49:AO54" si="24">SUM(AG35-X49)</f>
        <v>687</v>
      </c>
      <c r="AH49" s="147">
        <f t="shared" si="24"/>
        <v>0</v>
      </c>
      <c r="AI49" s="147">
        <f t="shared" si="24"/>
        <v>185</v>
      </c>
      <c r="AJ49" s="147">
        <f t="shared" si="24"/>
        <v>5</v>
      </c>
      <c r="AK49" s="155">
        <f t="shared" si="24"/>
        <v>-10</v>
      </c>
      <c r="AL49" s="147">
        <f t="shared" si="24"/>
        <v>0</v>
      </c>
      <c r="AM49" s="147">
        <f t="shared" si="24"/>
        <v>0</v>
      </c>
      <c r="AN49" s="147">
        <f t="shared" si="24"/>
        <v>0</v>
      </c>
      <c r="AO49" s="148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4">
        <v>207</v>
      </c>
      <c r="D50" s="127">
        <v>1</v>
      </c>
      <c r="E50" s="127">
        <v>123</v>
      </c>
      <c r="F50" s="127">
        <v>3</v>
      </c>
      <c r="G50" s="127">
        <v>28</v>
      </c>
      <c r="H50" s="127"/>
      <c r="I50" s="127"/>
      <c r="J50" s="127"/>
      <c r="K50" s="145"/>
      <c r="L50" s="146">
        <f t="shared" si="15"/>
        <v>311</v>
      </c>
      <c r="M50" s="147">
        <f t="shared" si="16"/>
        <v>4</v>
      </c>
      <c r="N50" s="147">
        <f t="shared" si="17"/>
        <v>60</v>
      </c>
      <c r="O50" s="147">
        <f t="shared" si="18"/>
        <v>26</v>
      </c>
      <c r="P50" s="155">
        <f t="shared" si="19"/>
        <v>-11</v>
      </c>
      <c r="Q50" s="147">
        <f t="shared" si="20"/>
        <v>0</v>
      </c>
      <c r="R50" s="147">
        <f t="shared" si="21"/>
        <v>0</v>
      </c>
      <c r="S50" s="147">
        <f t="shared" si="22"/>
        <v>0</v>
      </c>
      <c r="T50" s="148">
        <f t="shared" si="23"/>
        <v>0</v>
      </c>
      <c r="V50" s="25" t="s">
        <v>30</v>
      </c>
      <c r="W50" s="26" t="s">
        <v>27</v>
      </c>
      <c r="X50" s="144"/>
      <c r="Y50" s="127"/>
      <c r="Z50" s="127">
        <v>1</v>
      </c>
      <c r="AA50" s="127"/>
      <c r="AB50" s="127"/>
      <c r="AC50" s="127"/>
      <c r="AD50" s="127"/>
      <c r="AE50" s="127"/>
      <c r="AF50" s="145"/>
      <c r="AG50" s="146">
        <f t="shared" si="24"/>
        <v>17</v>
      </c>
      <c r="AH50" s="147">
        <f t="shared" si="24"/>
        <v>0</v>
      </c>
      <c r="AI50" s="147">
        <f t="shared" si="24"/>
        <v>15</v>
      </c>
      <c r="AJ50" s="147">
        <f t="shared" si="24"/>
        <v>0</v>
      </c>
      <c r="AK50" s="147">
        <f t="shared" si="24"/>
        <v>0</v>
      </c>
      <c r="AL50" s="147">
        <f t="shared" si="24"/>
        <v>0</v>
      </c>
      <c r="AM50" s="147">
        <f t="shared" si="24"/>
        <v>0</v>
      </c>
      <c r="AN50" s="147">
        <f t="shared" si="24"/>
        <v>0</v>
      </c>
      <c r="AO50" s="148">
        <f t="shared" si="24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9">
        <f t="shared" si="15"/>
        <v>0</v>
      </c>
      <c r="M51" s="150">
        <f t="shared" si="16"/>
        <v>0</v>
      </c>
      <c r="N51" s="150">
        <f t="shared" si="17"/>
        <v>0</v>
      </c>
      <c r="O51" s="150">
        <f t="shared" si="18"/>
        <v>0</v>
      </c>
      <c r="P51" s="150">
        <f t="shared" si="19"/>
        <v>0</v>
      </c>
      <c r="Q51" s="150">
        <f t="shared" si="20"/>
        <v>0</v>
      </c>
      <c r="R51" s="150">
        <f t="shared" si="21"/>
        <v>0</v>
      </c>
      <c r="S51" s="150">
        <f t="shared" si="22"/>
        <v>0</v>
      </c>
      <c r="T51" s="151">
        <f t="shared" si="23"/>
        <v>0</v>
      </c>
      <c r="V51" s="25" t="s">
        <v>31</v>
      </c>
      <c r="W51" s="26" t="s">
        <v>27</v>
      </c>
      <c r="X51" s="144">
        <v>152</v>
      </c>
      <c r="Y51" s="127"/>
      <c r="Z51" s="127">
        <v>110</v>
      </c>
      <c r="AA51" s="127"/>
      <c r="AB51" s="127"/>
      <c r="AC51" s="127"/>
      <c r="AD51" s="127">
        <v>1</v>
      </c>
      <c r="AE51" s="127"/>
      <c r="AF51" s="145"/>
      <c r="AG51" s="146">
        <f t="shared" si="24"/>
        <v>461</v>
      </c>
      <c r="AH51" s="147">
        <f t="shared" si="24"/>
        <v>2</v>
      </c>
      <c r="AI51" s="147">
        <f t="shared" si="24"/>
        <v>390</v>
      </c>
      <c r="AJ51" s="147">
        <f t="shared" si="24"/>
        <v>0</v>
      </c>
      <c r="AK51" s="147">
        <f t="shared" si="24"/>
        <v>0</v>
      </c>
      <c r="AL51" s="147">
        <f t="shared" si="24"/>
        <v>0</v>
      </c>
      <c r="AM51" s="147">
        <f t="shared" si="24"/>
        <v>0</v>
      </c>
      <c r="AN51" s="147">
        <f t="shared" si="24"/>
        <v>2</v>
      </c>
      <c r="AO51" s="148">
        <f t="shared" si="24"/>
        <v>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9">
        <f t="shared" si="15"/>
        <v>0</v>
      </c>
      <c r="M52" s="150">
        <f t="shared" si="16"/>
        <v>0</v>
      </c>
      <c r="N52" s="150">
        <f t="shared" si="17"/>
        <v>0</v>
      </c>
      <c r="O52" s="150">
        <f t="shared" si="18"/>
        <v>0</v>
      </c>
      <c r="P52" s="150">
        <f t="shared" si="19"/>
        <v>0</v>
      </c>
      <c r="Q52" s="150">
        <f t="shared" si="20"/>
        <v>0</v>
      </c>
      <c r="R52" s="150">
        <f t="shared" si="21"/>
        <v>0</v>
      </c>
      <c r="S52" s="150">
        <f t="shared" si="22"/>
        <v>0</v>
      </c>
      <c r="T52" s="151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9">
        <f t="shared" si="24"/>
        <v>0</v>
      </c>
      <c r="AH52" s="150">
        <f t="shared" si="24"/>
        <v>0</v>
      </c>
      <c r="AI52" s="150">
        <f t="shared" si="24"/>
        <v>0</v>
      </c>
      <c r="AJ52" s="150">
        <f t="shared" si="24"/>
        <v>0</v>
      </c>
      <c r="AK52" s="150">
        <f t="shared" si="24"/>
        <v>0</v>
      </c>
      <c r="AL52" s="150">
        <f t="shared" si="24"/>
        <v>0</v>
      </c>
      <c r="AM52" s="150">
        <f t="shared" si="24"/>
        <v>0</v>
      </c>
      <c r="AN52" s="150">
        <f t="shared" si="24"/>
        <v>0</v>
      </c>
      <c r="AO52" s="151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9">
        <f t="shared" si="15"/>
        <v>0</v>
      </c>
      <c r="M53" s="150">
        <f t="shared" si="16"/>
        <v>0</v>
      </c>
      <c r="N53" s="150">
        <f t="shared" si="17"/>
        <v>0</v>
      </c>
      <c r="O53" s="150">
        <f t="shared" si="18"/>
        <v>0</v>
      </c>
      <c r="P53" s="150">
        <f t="shared" si="19"/>
        <v>0</v>
      </c>
      <c r="Q53" s="150">
        <f t="shared" si="20"/>
        <v>0</v>
      </c>
      <c r="R53" s="150">
        <f t="shared" si="21"/>
        <v>0</v>
      </c>
      <c r="S53" s="150">
        <f t="shared" si="22"/>
        <v>0</v>
      </c>
      <c r="T53" s="151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9">
        <f t="shared" si="24"/>
        <v>0</v>
      </c>
      <c r="AH53" s="150">
        <f t="shared" si="24"/>
        <v>0</v>
      </c>
      <c r="AI53" s="150">
        <f t="shared" si="24"/>
        <v>0</v>
      </c>
      <c r="AJ53" s="150">
        <f t="shared" si="24"/>
        <v>0</v>
      </c>
      <c r="AK53" s="150">
        <f t="shared" si="24"/>
        <v>0</v>
      </c>
      <c r="AL53" s="150">
        <f t="shared" si="24"/>
        <v>0</v>
      </c>
      <c r="AM53" s="150">
        <f t="shared" si="24"/>
        <v>0</v>
      </c>
      <c r="AN53" s="150">
        <f t="shared" si="24"/>
        <v>0</v>
      </c>
      <c r="AO53" s="151">
        <f t="shared" si="24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2">
        <f t="shared" si="15"/>
        <v>0</v>
      </c>
      <c r="M54" s="153">
        <f t="shared" si="16"/>
        <v>0</v>
      </c>
      <c r="N54" s="153">
        <f t="shared" si="17"/>
        <v>0</v>
      </c>
      <c r="O54" s="153">
        <f t="shared" si="18"/>
        <v>0</v>
      </c>
      <c r="P54" s="153">
        <f t="shared" si="19"/>
        <v>0</v>
      </c>
      <c r="Q54" s="153">
        <f t="shared" si="20"/>
        <v>0</v>
      </c>
      <c r="R54" s="153">
        <f t="shared" si="21"/>
        <v>0</v>
      </c>
      <c r="S54" s="153">
        <f t="shared" si="22"/>
        <v>0</v>
      </c>
      <c r="T54" s="154">
        <f t="shared" si="23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9">
        <f t="shared" si="24"/>
        <v>0</v>
      </c>
      <c r="AH54" s="150">
        <f t="shared" si="24"/>
        <v>0</v>
      </c>
      <c r="AI54" s="150">
        <f t="shared" si="24"/>
        <v>0</v>
      </c>
      <c r="AJ54" s="150">
        <f t="shared" si="24"/>
        <v>0</v>
      </c>
      <c r="AK54" s="150">
        <f t="shared" si="24"/>
        <v>0</v>
      </c>
      <c r="AL54" s="150">
        <f t="shared" si="24"/>
        <v>0</v>
      </c>
      <c r="AM54" s="150">
        <f t="shared" si="24"/>
        <v>0</v>
      </c>
      <c r="AN54" s="150">
        <f t="shared" si="24"/>
        <v>0</v>
      </c>
      <c r="AO54" s="151">
        <f t="shared" si="24"/>
        <v>0</v>
      </c>
    </row>
    <row r="55" spans="1:41" ht="15" customHeight="1" thickBot="1" x14ac:dyDescent="0.25">
      <c r="A55" s="179" t="s">
        <v>35</v>
      </c>
      <c r="B55" s="180"/>
      <c r="C55" s="60">
        <f t="shared" ref="C55:T55" si="25">SUM(C45:C54)</f>
        <v>266</v>
      </c>
      <c r="D55" s="61">
        <f t="shared" si="25"/>
        <v>1</v>
      </c>
      <c r="E55" s="61">
        <f t="shared" si="25"/>
        <v>170</v>
      </c>
      <c r="F55" s="61">
        <f t="shared" si="25"/>
        <v>3</v>
      </c>
      <c r="G55" s="61">
        <f t="shared" si="25"/>
        <v>28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839</v>
      </c>
      <c r="M55" s="48">
        <f t="shared" si="25"/>
        <v>4</v>
      </c>
      <c r="N55" s="48">
        <f t="shared" si="25"/>
        <v>847</v>
      </c>
      <c r="O55" s="48">
        <f t="shared" si="25"/>
        <v>26</v>
      </c>
      <c r="P55" s="48">
        <f t="shared" si="25"/>
        <v>-11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36</v>
      </c>
      <c r="W55" s="180"/>
      <c r="X55" s="60">
        <f t="shared" ref="X55:AO55" si="26">SUM(X45:X54)</f>
        <v>237</v>
      </c>
      <c r="Y55" s="61">
        <f t="shared" si="26"/>
        <v>0</v>
      </c>
      <c r="Z55" s="61">
        <f t="shared" si="26"/>
        <v>125</v>
      </c>
      <c r="AA55" s="61">
        <f t="shared" si="26"/>
        <v>1</v>
      </c>
      <c r="AB55" s="61">
        <f t="shared" si="26"/>
        <v>15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1165</v>
      </c>
      <c r="AH55" s="48">
        <f t="shared" si="26"/>
        <v>2</v>
      </c>
      <c r="AI55" s="48">
        <f t="shared" si="26"/>
        <v>590</v>
      </c>
      <c r="AJ55" s="48">
        <f t="shared" si="26"/>
        <v>5</v>
      </c>
      <c r="AK55" s="48">
        <f t="shared" si="26"/>
        <v>-10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50</v>
      </c>
      <c r="B1" s="189"/>
      <c r="C1" s="189"/>
      <c r="D1" s="190"/>
      <c r="E1" s="89"/>
      <c r="F1" s="188" t="s">
        <v>51</v>
      </c>
      <c r="G1" s="189"/>
      <c r="H1" s="189"/>
      <c r="I1" s="190"/>
      <c r="J1" s="90"/>
      <c r="K1" s="90"/>
      <c r="L1" s="90"/>
      <c r="M1" s="90"/>
    </row>
    <row r="2" spans="1:13" ht="16.149999999999999" customHeight="1" x14ac:dyDescent="0.25">
      <c r="A2" s="193" t="s">
        <v>52</v>
      </c>
      <c r="B2" s="88" t="s">
        <v>53</v>
      </c>
      <c r="C2" s="88" t="s">
        <v>54</v>
      </c>
      <c r="D2" s="88" t="s">
        <v>55</v>
      </c>
      <c r="E2" s="91"/>
      <c r="F2" s="191" t="s">
        <v>52</v>
      </c>
      <c r="G2" s="88" t="s">
        <v>53</v>
      </c>
      <c r="H2" s="88" t="s">
        <v>54</v>
      </c>
      <c r="I2" s="88" t="s">
        <v>55</v>
      </c>
      <c r="J2" s="90"/>
      <c r="K2" s="90"/>
      <c r="L2" s="90"/>
      <c r="M2" s="90"/>
    </row>
    <row r="3" spans="1:13" ht="16.149999999999999" customHeight="1" x14ac:dyDescent="0.25">
      <c r="A3" s="192"/>
      <c r="B3" s="92" t="s">
        <v>11</v>
      </c>
      <c r="C3" s="92" t="s">
        <v>11</v>
      </c>
      <c r="D3" s="92" t="s">
        <v>11</v>
      </c>
      <c r="E3" s="91"/>
      <c r="F3" s="192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8</v>
      </c>
      <c r="H4" s="95"/>
      <c r="I4" s="95">
        <v>1</v>
      </c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5</v>
      </c>
      <c r="C6" s="97"/>
      <c r="D6" s="97"/>
      <c r="F6" s="96">
        <v>2021</v>
      </c>
      <c r="G6" s="97">
        <v>4</v>
      </c>
      <c r="H6" s="97"/>
      <c r="I6" s="97"/>
    </row>
    <row r="7" spans="1:13" ht="16.149999999999999" customHeight="1" x14ac:dyDescent="0.25">
      <c r="A7" s="96">
        <v>2020</v>
      </c>
      <c r="B7" s="97">
        <v>5</v>
      </c>
      <c r="C7" s="97"/>
      <c r="D7" s="97">
        <v>1</v>
      </c>
      <c r="F7" s="96">
        <v>2020</v>
      </c>
      <c r="G7" s="97">
        <v>9</v>
      </c>
      <c r="H7" s="97"/>
      <c r="I7" s="97">
        <v>1</v>
      </c>
    </row>
    <row r="8" spans="1:13" ht="16.149999999999999" customHeight="1" thickBot="1" x14ac:dyDescent="0.3">
      <c r="A8" s="98" t="s">
        <v>56</v>
      </c>
      <c r="B8" s="99">
        <f>SUM(B4:B7)</f>
        <v>14</v>
      </c>
      <c r="C8" s="99">
        <f>SUM(C4:C7)</f>
        <v>0</v>
      </c>
      <c r="D8" s="99">
        <f>SUM(D4:D7)</f>
        <v>2</v>
      </c>
      <c r="E8" s="100"/>
      <c r="F8" s="98" t="s">
        <v>56</v>
      </c>
      <c r="G8" s="99">
        <f>SUM(G4:G7)</f>
        <v>21</v>
      </c>
      <c r="H8" s="99">
        <f>SUM(H4:H7)</f>
        <v>0</v>
      </c>
      <c r="I8" s="99">
        <f>SUM(I4:I7)</f>
        <v>2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7" t="s">
        <v>50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57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58</v>
      </c>
      <c r="C3" s="79">
        <f>Daily!L15</f>
        <v>1802</v>
      </c>
      <c r="D3" s="79">
        <f>Daily!M15</f>
        <v>5</v>
      </c>
      <c r="E3" s="79">
        <f>Daily!N15</f>
        <v>1368</v>
      </c>
      <c r="F3" s="79">
        <f>Daily!O15</f>
        <v>40</v>
      </c>
      <c r="G3" s="79">
        <f>Daily!P15</f>
        <v>38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59</v>
      </c>
      <c r="C4" s="156">
        <f>Daily!L14</f>
        <v>211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60</v>
      </c>
      <c r="C7" s="157">
        <f>Daily!C15</f>
        <v>190</v>
      </c>
      <c r="D7" s="157">
        <f>Daily!D15</f>
        <v>0</v>
      </c>
      <c r="E7" s="157">
        <f>Daily!E15</f>
        <v>153</v>
      </c>
      <c r="F7" s="157">
        <f>Daily!F15</f>
        <v>6</v>
      </c>
      <c r="G7" s="157">
        <f>Daily!G15</f>
        <v>6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61</v>
      </c>
      <c r="C8" s="156">
        <f>Daily!C41</f>
        <v>486</v>
      </c>
      <c r="D8" s="156">
        <f>Daily!D41</f>
        <v>0</v>
      </c>
      <c r="E8" s="156">
        <f>Daily!E41</f>
        <v>351</v>
      </c>
      <c r="F8" s="156">
        <f>Daily!F41</f>
        <v>11</v>
      </c>
      <c r="G8" s="156">
        <f>Daily!G41</f>
        <v>26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09-18/10/2026</v>
      </c>
    </row>
    <row r="9" spans="2:12" ht="15.6" customHeight="1" thickBot="1" x14ac:dyDescent="0.25">
      <c r="B9" s="78" t="s">
        <v>62</v>
      </c>
      <c r="C9" s="158">
        <f>Daily!C55</f>
        <v>266</v>
      </c>
      <c r="D9" s="158">
        <f>Daily!D55</f>
        <v>1</v>
      </c>
      <c r="E9" s="158">
        <f>Daily!E55</f>
        <v>170</v>
      </c>
      <c r="F9" s="158">
        <f>Daily!F55</f>
        <v>3</v>
      </c>
      <c r="G9" s="158">
        <f>Daily!G55</f>
        <v>28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19-25/10/2026</v>
      </c>
    </row>
    <row r="10" spans="2:12" ht="15.6" customHeight="1" thickBot="1" x14ac:dyDescent="0.25">
      <c r="B10" s="84" t="s">
        <v>63</v>
      </c>
      <c r="C10" s="159">
        <f t="shared" ref="C10:K10" si="0">SUM(C3+C4+C5+C6+C7-C8-C9)</f>
        <v>1451</v>
      </c>
      <c r="D10" s="159">
        <f t="shared" si="0"/>
        <v>4</v>
      </c>
      <c r="E10" s="159">
        <f t="shared" si="0"/>
        <v>1000</v>
      </c>
      <c r="F10" s="159">
        <f t="shared" si="0"/>
        <v>32</v>
      </c>
      <c r="G10" s="160">
        <f t="shared" si="0"/>
        <v>-10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4" t="s">
        <v>51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57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58</v>
      </c>
      <c r="C14" s="79">
        <f>Daily!AG15</f>
        <v>2147</v>
      </c>
      <c r="D14" s="79">
        <f>Daily!AH15</f>
        <v>2</v>
      </c>
      <c r="E14" s="79">
        <f>Daily!AI15</f>
        <v>1154</v>
      </c>
      <c r="F14" s="79">
        <f>Daily!AJ15</f>
        <v>7</v>
      </c>
      <c r="G14" s="79">
        <f>Daily!AK15</f>
        <v>53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59</v>
      </c>
      <c r="C15" s="156">
        <f>Daily!AG14</f>
        <v>70</v>
      </c>
      <c r="D15" s="156">
        <f>Daily!AH14</f>
        <v>0</v>
      </c>
      <c r="E15" s="156">
        <f>Daily!AI14</f>
        <v>48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60</v>
      </c>
      <c r="C18" s="157">
        <f>Daily!X15</f>
        <v>92</v>
      </c>
      <c r="D18" s="157">
        <f>Daily!Y15</f>
        <v>0</v>
      </c>
      <c r="E18" s="157">
        <f>Daily!Z15</f>
        <v>148</v>
      </c>
      <c r="F18" s="157">
        <f>Daily!AA15</f>
        <v>1</v>
      </c>
      <c r="G18" s="157">
        <f>Daily!AB15</f>
        <v>3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61</v>
      </c>
      <c r="C19" s="158">
        <f>Daily!X41</f>
        <v>584</v>
      </c>
      <c r="D19" s="158">
        <f>Daily!Y41</f>
        <v>0</v>
      </c>
      <c r="E19" s="158">
        <f>Daily!Z41</f>
        <v>411</v>
      </c>
      <c r="F19" s="158">
        <f>Daily!AA41</f>
        <v>1</v>
      </c>
      <c r="G19" s="158">
        <f>Daily!AB41</f>
        <v>48</v>
      </c>
      <c r="H19" s="158">
        <f>Daily!AC41</f>
        <v>1</v>
      </c>
      <c r="I19" s="161">
        <f>Daily!AD41</f>
        <v>1</v>
      </c>
      <c r="J19" s="161">
        <f>Daily!AE41</f>
        <v>1</v>
      </c>
      <c r="K19" s="158">
        <f>Daily!AF41</f>
        <v>0</v>
      </c>
      <c r="L19" s="73" t="str">
        <f>Daily!AD29</f>
        <v>09-18/10/2026</v>
      </c>
    </row>
    <row r="20" spans="2:12" ht="15.6" customHeight="1" thickBot="1" x14ac:dyDescent="0.25">
      <c r="B20" s="86" t="s">
        <v>62</v>
      </c>
      <c r="C20" s="158">
        <f>Daily!X55</f>
        <v>237</v>
      </c>
      <c r="D20" s="158">
        <f>Daily!Y55</f>
        <v>0</v>
      </c>
      <c r="E20" s="158">
        <f>Daily!Z55</f>
        <v>125</v>
      </c>
      <c r="F20" s="158">
        <f>Daily!AA55</f>
        <v>1</v>
      </c>
      <c r="G20" s="158">
        <f>Daily!AB55</f>
        <v>15</v>
      </c>
      <c r="H20" s="158">
        <f>Daily!AC55</f>
        <v>0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19-25/10/2026</v>
      </c>
    </row>
    <row r="21" spans="2:12" ht="15.6" customHeight="1" thickBot="1" x14ac:dyDescent="0.25">
      <c r="B21" s="84" t="s">
        <v>63</v>
      </c>
      <c r="C21" s="159">
        <f t="shared" ref="C21:K21" si="1">SUM(C14+C15+C16+C17+C18-C19-C20)</f>
        <v>1488</v>
      </c>
      <c r="D21" s="159">
        <f t="shared" si="1"/>
        <v>2</v>
      </c>
      <c r="E21" s="159">
        <f t="shared" si="1"/>
        <v>814</v>
      </c>
      <c r="F21" s="159">
        <f t="shared" si="1"/>
        <v>6</v>
      </c>
      <c r="G21" s="160">
        <f t="shared" si="1"/>
        <v>-7</v>
      </c>
      <c r="H21" s="160">
        <f t="shared" si="1"/>
        <v>0</v>
      </c>
      <c r="I21" s="159">
        <f t="shared" si="1"/>
        <v>0</v>
      </c>
      <c r="J21" s="159">
        <f t="shared" si="1"/>
        <v>2</v>
      </c>
      <c r="K21" s="159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2026-10-09T01:48:48Z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
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rminal Summary" sheetId="1" state="visible" r:id="rId3"/>
    <sheet name="Service Summary" sheetId="2" state="visible" r:id="rId4"/>
    <sheet name="Operator Summary" sheetId="3" state="visible" r:id="rId5"/>
    <sheet name="Monthly Trend" sheetId="4" state="visible" r:id="rId6"/>
    <sheet name="Top 20 Longest Waits" sheetId="5" state="visible" r:id="rId7"/>
    <sheet name="Wait Distribution" sheetId="6" state="visible" r:id="rId8"/>
    <sheet name="Operational Insights" sheetId="7" state="visible" r:id="rId9"/>
    <sheet name="Raw Data"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<sst xmlns="http://schemas.openxmlformats.org/spreadsheetml/2006/main" count="9070" uniqueCount="349">
  <si>
    <t xml:space="preserve">Berth Waiting Time Analysis — ETA to ETB</t>
  </si>
  <si>
    <t xml:space="preserve">Terminals covered: THBKK (Bangkok) and THLCH (Laem Chabang) | Source: uploaded vessel schedule (Jan–Sep 2026)</t>
  </si>
  <si>
    <t xml:space="preserve">Terminal Comparison — Waiting Time (ETA → ETB)</t>
  </si>
  <si>
    <t xml:space="preserve">Terminal</t>
  </si>
  <si>
    <t xml:space="preserve">Calls (Count)</t>
  </si>
  <si>
    <t xml:space="preserve">Avg Wait (Hrs)</t>
  </si>
  <si>
    <t xml:space="preserve">Median Wait (Hrs)</t>
  </si>
  <si>
    <t xml:space="preserve">Min Wait (Hrs)</t>
  </si>
  <si>
    <t xml:space="preserve">Max Wait (Hrs)</t>
  </si>
  <si>
    <t xml:space="preserve">Total Wait (Hrs)</t>
  </si>
  <si>
    <t xml:space="preserve">Std Dev (Hrs)</t>
  </si>
  <si>
    <t xml:space="preserve">90th Percentile (Hrs)</t>
  </si>
  <si>
    <t xml:space="preserve">THBKK</t>
  </si>
  <si>
    <t xml:space="preserve">THLCH</t>
  </si>
  <si>
    <t xml:space="preserve">Finding: THBKK shows ~3x longer average berth waiting time than THLCH over the period. See HTML/summary notes.</t>
  </si>
  <si>
    <t xml:space="preserve">Wharf / Berth Breakdown</t>
  </si>
  <si>
    <t xml:space="preserve">Wharf</t>
  </si>
  <si>
    <t xml:space="preserve">BKK01</t>
  </si>
  <si>
    <t xml:space="preserve">BKK02</t>
  </si>
  <si>
    <t xml:space="preserve">BKK04</t>
  </si>
  <si>
    <t xml:space="preserve">LCH01</t>
  </si>
  <si>
    <t xml:space="preserve">LCH02</t>
  </si>
  <si>
    <t xml:space="preserve">LCH03</t>
  </si>
  <si>
    <t xml:space="preserve">LCH04</t>
  </si>
  <si>
    <t xml:space="preserve">LCH05</t>
  </si>
  <si>
    <t xml:space="preserve">LCH06</t>
  </si>
  <si>
    <t xml:space="preserve">LCH07</t>
  </si>
  <si>
    <t xml:space="preserve">LCH08</t>
  </si>
  <si>
    <t xml:space="preserve">LCH10</t>
  </si>
  <si>
    <t xml:space="preserve">Waiting Time by Service (Overall)</t>
  </si>
  <si>
    <t xml:space="preserve">Service</t>
  </si>
  <si>
    <t xml:space="preserve">KST</t>
  </si>
  <si>
    <t xml:space="preserve">VTS</t>
  </si>
  <si>
    <t xml:space="preserve">NTX</t>
  </si>
  <si>
    <t xml:space="preserve">KHS1</t>
  </si>
  <si>
    <t xml:space="preserve">CHT</t>
  </si>
  <si>
    <t xml:space="preserve">KTS1</t>
  </si>
  <si>
    <t xml:space="preserve">BTS</t>
  </si>
  <si>
    <t xml:space="preserve">ANX</t>
  </si>
  <si>
    <t xml:space="preserve">PCI2</t>
  </si>
  <si>
    <t xml:space="preserve">EPS</t>
  </si>
  <si>
    <t xml:space="preserve">ADHS</t>
  </si>
  <si>
    <t xml:space="preserve">Note: ADHS and EPS have only 1 recorded call each — treat with caution (small sample).</t>
  </si>
  <si>
    <t xml:space="preserve">Waiting Time by Service × Terminal</t>
  </si>
  <si>
    <t xml:space="preserve">Waiting Time by Operator (Op.Liner)</t>
  </si>
  <si>
    <t xml:space="preserve">Operator (OPR)</t>
  </si>
  <si>
    <t xml:space="preserve">SKR</t>
  </si>
  <si>
    <t xml:space="preserve">KMT</t>
  </si>
  <si>
    <t xml:space="preserve">CKL</t>
  </si>
  <si>
    <t xml:space="preserve">NAM</t>
  </si>
  <si>
    <t xml:space="preserve">HAS</t>
  </si>
  <si>
    <t xml:space="preserve">DJS</t>
  </si>
  <si>
    <t xml:space="preserve">TSL</t>
  </si>
  <si>
    <t xml:space="preserve">PCS</t>
  </si>
  <si>
    <t xml:space="preserve">PAN</t>
  </si>
  <si>
    <t xml:space="preserve">Waiting Time by Operator × Terminal</t>
  </si>
  <si>
    <t xml:space="preserve">Monthly Average Waiting Time by Terminal</t>
  </si>
  <si>
    <t xml:space="preserve">Month</t>
  </si>
  <si>
    <t xml:space="preserve">THBKK Avg Wait (Hrs)</t>
  </si>
  <si>
    <t xml:space="preserve">THLCH Avg Wait (Hrs)</t>
  </si>
  <si>
    <t xml:space="preserve">THBKK Calls</t>
  </si>
  <si>
    <t xml:space="preserve">THLCH Calls</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</si>
  <si>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</si>
  <si>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</si>
  <si>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</si>
  <si>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</si>
  <si>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</si>
  <si>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</si>
  <si>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</si>
  <si>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</si>
  <si>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</si>
  <si>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Top 20 Longest Berth Waiting Times (ETA → ETB)</t>
  </si>
  <si>
    <t xml:space="preserve">Rank</t>
  </si>
  <si>
    <t xml:space="preserve">Vessel</t>
  </si>
  <si>
    <t xml:space="preserve">Vessel Name</t>
  </si>
  <si>
    <t xml:space="preserve">POD</t>
  </si>
  <si>
    <t xml:space="preserve">ETA Date</t>
  </si>
  <si>
    <t xml:space="preserve">ETB Date</t>
  </si>
  <si>
    <t xml:space="preserve">Wait (Hrs)</t>
  </si>
  <si>
    <t xml:space="preserve">Waiting Time Distribution by Terminal</t>
  </si>
  <si>
    <t xml:space="preserve">0-1 Hrs</t>
  </si>
  <si>
    <t xml:space="preserve">1-2 Hrs</t>
  </si>
  <si>
    <t xml:space="preserve">2-4 Hrs</t>
  </si>
  <si>
    <t xml:space="preserve">4-8 Hrs</t>
  </si>
  <si>
    <t xml:space="preserve">8-24 Hrs</t>
  </si>
  <si>
    <t xml:space="preserve">&gt;24 Hrs</t>
  </si>
  <si>
    <t xml:space="preserve">Operational Insights — Beyond Berth Waiting Time</t>
  </si>
  <si>
    <t xml:space="preserve">1. Root Cause — THBKK Wait Is Largely Tidal (Bangkok Bar), Not Operational</t>
  </si>
  <si>
    <t xml:space="preserve">Operational input: THBKK (Port of Bangkok / PAT) is a river terminal reached via the Chao Phraya river mouth ("Bangkok Bar"). Deep-draft vessels can only cross the bar around high tide, so they arrive (ETA) and then wait offshore for the next tide window before proceeding upriver to berth (ETB). THLCH (Laem Chabang) is a deep-sea terminal with no such restriction — confirmed below by the ETB (berthing) hour-of-day pattern.</t>
  </si>
  <si>
    <t xml:space="preserve">Hour of Day (ETB)</t>
  </si>
  <si>
    <t xml:space="preserve">THBKK % of Berthings</t>
  </si>
  <si>
    <t xml:space="preserve">THLCH % of Berthings</t>
  </si>
  <si>
    <t xml:space="preserve">00:00</t>
  </si>
  <si>
    <t xml:space="preserve">01:00</t>
  </si>
  <si>
    <t xml:space="preserve">02:00</t>
  </si>
  <si>
    <t xml:space="preserve">03:00</t>
  </si>
  <si>
    <t xml:space="preserve">04:00</t>
  </si>
  <si>
    <t xml:space="preserve">05:00</t>
  </si>
  <si>
    <t xml:space="preserve">06:00</t>
  </si>
  <si>
    <t xml:space="preserve">07:00</t>
  </si>
  <si>
    <t xml:space="preserve">08:00</t>
  </si>
  <si>
    <t xml:space="preserve">09:00</t>
  </si>
  <si>
    <t xml:space="preserve">10:00</t>
  </si>
  <si>
    <t xml:space="preserve">11:00</t>
  </si>
  <si>
    <t xml:space="preserve">12:00</t>
  </si>
  <si>
    <t xml:space="preserve">13:00</t>
  </si>
  <si>
    <t xml:space="preserve">14:00</t>
  </si>
  <si>
    <t xml:space="preserve">15:00</t>
  </si>
  <si>
    <t xml:space="preserve">16:00</t>
  </si>
  <si>
    <t xml:space="preserve">17:00</t>
  </si>
  <si>
    <t xml:space="preserve">18:00</t>
  </si>
  <si>
    <t xml:space="preserve">19:00</t>
  </si>
  <si>
    <t xml:space="preserve">20:00</t>
  </si>
  <si>
    <t xml:space="preserve">21:00</t>
  </si>
  <si>
    <t xml:space="preserve">22:00</t>
  </si>
  <si>
    <t xml:space="preserve">23:00</t>
  </si>
  <si>
    <t xml:space="preserve">THBKK berthings cluster into two ~4-hour windows roughly 12–13 hours apart (a semi-diurnal tide signature); THLCH berthings are spread evenly across the day. Practical implication: berth-productivity fixes (e.g. reallocating BKK01 traffic) will help less than tide-aware ETA planning — scheduling vessel arrival closer to the next tide window instead of arriving early and idling reduces reported waiting time directly.</t>
  </si>
  <si>
    <t xml:space="preserve">2. Total Port Time Breakdown — Wait vs. Berth Occupancy</t>
  </si>
  <si>
    <t xml:space="preserve">Avg Berth Occupancy (Hrs)</t>
  </si>
  <si>
    <t xml:space="preserve">Avg Total Port Stay (Hrs)</t>
  </si>
  <si>
    <t xml:space="preserve">Wait Share of Port Stay (%)</t>
  </si>
  <si>
    <t xml:space="preserve">Port Stay = ETD − ETA (full turnaround). Occupancy = ETD − ETB (time actually at berth working cargo).</t>
  </si>
  <si>
    <t xml:space="preserve">3. Waiting Time by Sailing Direction (Bound)</t>
  </si>
  <si>
    <t xml:space="preserve">Bound</t>
  </si>
  <si>
    <t xml:space="preserve">Meaning</t>
  </si>
  <si>
    <t xml:space="preserve">N</t>
  </si>
  <si>
    <t xml:space="preserve">Northbound</t>
  </si>
  <si>
    <t xml:space="preserve">S</t>
  </si>
  <si>
    <t xml:space="preserve">Southbound</t>
  </si>
  <si>
    <t xml:space="preserve">4. Waiting Time by Day of Week (ETA)</t>
  </si>
  <si>
    <t xml:space="preserve">Day</t>
  </si>
  <si>
    <t xml:space="preserve">Monday</t>
  </si>
  <si>
    <t xml:space="preserve">Tuesday</t>
  </si>
  <si>
    <t xml:space="preserve">Wednesday</t>
  </si>
  <si>
    <t xml:space="preserve">Thursday</t>
  </si>
  <si>
    <t xml:space="preserve">Friday</t>
  </si>
  <si>
    <t xml:space="preserve">Saturday</t>
  </si>
  <si>
    <t xml:space="preserve">Sunday</t>
  </si>
  <si>
    <t xml:space="preserve">5. Service-Level Threshold Compliance</t>
  </si>
  <si>
    <t xml:space="preserve">% Waiting &gt; 4 Hrs</t>
  </si>
  <si>
    <t xml:space="preserve">% Waiting &gt; 8 Hrs</t>
  </si>
  <si>
    <t xml:space="preserve">% Waiting &gt; 24 Hrs</t>
  </si>
  <si>
    <t xml:space="preserve">6. Data Quality Note — "Skip" Flagged Calls</t>
  </si>
  <si>
    <t xml:space="preserve">Skip Flag</t>
  </si>
  <si>
    <t xml:space="preserve">Y</t>
  </si>
  <si>
    <t xml:space="preserve">42 calls are flagged Skip = "Y" and show near-zero waiting time (~0.02 hrs avg) — these likely represent calls where the vessel did not actually berth. Consider excluding Skip="Y" rows for a pure berth-queueing KPI.</t>
  </si>
  <si>
    <t xml:space="preserve">Op.Liner</t>
  </si>
  <si>
    <t xml:space="preserve">Seq</t>
  </si>
  <si>
    <t xml:space="preserve">Vyg</t>
  </si>
  <si>
    <t xml:space="preserve">Vyg Bound</t>
  </si>
  <si>
    <t xml:space="preserve">Terminal (POL)</t>
  </si>
  <si>
    <t xml:space="preserve">Skip</t>
  </si>
  <si>
    <t xml:space="preserve">No D</t>
  </si>
  <si>
    <t xml:space="preserve">No L</t>
  </si>
  <si>
    <t xml:space="preserve">USED</t>
  </si>
  <si>
    <t xml:space="preserve">ETD Date</t>
  </si>
  <si>
    <t xml:space="preserve">Wait Rank</t>
  </si>
  <si>
    <t xml:space="preserve">Berth Occupancy (Hrs)</t>
  </si>
  <si>
    <t xml:space="preserve">Port Stay (Hrs)</t>
  </si>
  <si>
    <t xml:space="preserve">Day of Week</t>
  </si>
  <si>
    <t xml:space="preserve">ETB Hour</t>
  </si>
  <si>
    <t xml:space="preserve">SWPC</t>
  </si>
  <si>
    <t xml:space="preserve">SAWASDEE PACIFIC</t>
  </si>
  <si>
    <t xml:space="preserve">06</t>
  </si>
  <si>
    <t xml:space="preserve">2522N</t>
  </si>
  <si>
    <t xml:space="preserve">VNSGN</t>
  </si>
  <si>
    <t xml:space="preserve">KMGY</t>
  </si>
  <si>
    <t xml:space="preserve">KMTC GWANGYANG</t>
  </si>
  <si>
    <t xml:space="preserve">05</t>
  </si>
  <si>
    <t xml:space="preserve">2513S</t>
  </si>
  <si>
    <t xml:space="preserve">2513N</t>
  </si>
  <si>
    <t xml:space="preserve">KPN</t>
  </si>
  <si>
    <t xml:space="preserve">KMTC PUSAN</t>
  </si>
  <si>
    <t xml:space="preserve">2514S</t>
  </si>
  <si>
    <t xml:space="preserve">PGPO</t>
  </si>
  <si>
    <t xml:space="preserve">PEGASUS PROTO</t>
  </si>
  <si>
    <t xml:space="preserve">07</t>
  </si>
  <si>
    <t xml:space="preserve">2514N</t>
  </si>
  <si>
    <t xml:space="preserve">NSSJ</t>
  </si>
  <si>
    <t xml:space="preserve">STARSHIP JUPITER</t>
  </si>
  <si>
    <t xml:space="preserve">2510S</t>
  </si>
  <si>
    <t xml:space="preserve">IDJKT</t>
  </si>
  <si>
    <t xml:space="preserve">SKOR</t>
  </si>
  <si>
    <t xml:space="preserve">SKY ORION</t>
  </si>
  <si>
    <t xml:space="preserve">2515S</t>
  </si>
  <si>
    <t xml:space="preserve">08</t>
  </si>
  <si>
    <t xml:space="preserve">HKHKG</t>
  </si>
  <si>
    <t xml:space="preserve">2515N</t>
  </si>
  <si>
    <t xml:space="preserve">SWSR</t>
  </si>
  <si>
    <t xml:space="preserve">SAWASDEE SUNRISE</t>
  </si>
  <si>
    <t xml:space="preserve">2523S</t>
  </si>
  <si>
    <t xml:space="preserve">2523N</t>
  </si>
  <si>
    <t xml:space="preserve">SWSI</t>
  </si>
  <si>
    <t xml:space="preserve">SAWASDEE SIRIUS</t>
  </si>
  <si>
    <t xml:space="preserve">SWDN</t>
  </si>
  <si>
    <t xml:space="preserve">SAWASDEE DENEB</t>
  </si>
  <si>
    <t xml:space="preserve">SWRG</t>
  </si>
  <si>
    <t xml:space="preserve">SAWASDEE RIGEL</t>
  </si>
  <si>
    <t xml:space="preserve">04</t>
  </si>
  <si>
    <t xml:space="preserve">SWMM</t>
  </si>
  <si>
    <t xml:space="preserve">SAWASDEE MIMOSA</t>
  </si>
  <si>
    <t xml:space="preserve">2537S</t>
  </si>
  <si>
    <t xml:space="preserve">2537N</t>
  </si>
  <si>
    <t xml:space="preserve">SKSH</t>
  </si>
  <si>
    <t xml:space="preserve">SKY SUNSHINE</t>
  </si>
  <si>
    <t xml:space="preserve">2517S</t>
  </si>
  <si>
    <t xml:space="preserve">BUY(CKL)</t>
  </si>
  <si>
    <t xml:space="preserve">2517N</t>
  </si>
  <si>
    <t xml:space="preserve">SWAT</t>
  </si>
  <si>
    <t xml:space="preserve">SAWASDEE ATLANTIC</t>
  </si>
  <si>
    <t xml:space="preserve">2526S</t>
  </si>
  <si>
    <t xml:space="preserve">KMSU</t>
  </si>
  <si>
    <t xml:space="preserve">KMTC SURABAYA</t>
  </si>
  <si>
    <t xml:space="preserve">LCVY</t>
  </si>
  <si>
    <t xml:space="preserve">LAEM CHABANG VOYAGER</t>
  </si>
  <si>
    <t xml:space="preserve">2512N</t>
  </si>
  <si>
    <t xml:space="preserve">CNSHA</t>
  </si>
  <si>
    <t xml:space="preserve">2526N</t>
  </si>
  <si>
    <t xml:space="preserve">SPHO</t>
  </si>
  <si>
    <t xml:space="preserve">POS HOCHIMINH</t>
  </si>
  <si>
    <t xml:space="preserve">1058S</t>
  </si>
  <si>
    <t xml:space="preserve">BUY(PAN)</t>
  </si>
  <si>
    <t xml:space="preserve">1058N</t>
  </si>
  <si>
    <t xml:space="preserve">KJT</t>
  </si>
  <si>
    <t xml:space="preserve">KMTC JAKARTA</t>
  </si>
  <si>
    <t xml:space="preserve">KMTP</t>
  </si>
  <si>
    <t xml:space="preserve">KMTC TAIPEIS</t>
  </si>
  <si>
    <t xml:space="preserve">2601S</t>
  </si>
  <si>
    <t xml:space="preserve">TSNA</t>
  </si>
  <si>
    <t xml:space="preserve">TS TIANJIN</t>
  </si>
  <si>
    <t xml:space="preserve">25014S</t>
  </si>
  <si>
    <t xml:space="preserve">2601N</t>
  </si>
  <si>
    <t xml:space="preserve">CNXMN</t>
  </si>
  <si>
    <t xml:space="preserve">SWIC</t>
  </si>
  <si>
    <t xml:space="preserve">SAWASDEE INCHEON</t>
  </si>
  <si>
    <t xml:space="preserve">25014N</t>
  </si>
  <si>
    <t xml:space="preserve">SWSP</t>
  </si>
  <si>
    <t xml:space="preserve">SAWASDEE SPICA</t>
  </si>
  <si>
    <t xml:space="preserve">HAB</t>
  </si>
  <si>
    <t xml:space="preserve">HEUNG-A BANGKOK</t>
  </si>
  <si>
    <t xml:space="preserve">HAHM</t>
  </si>
  <si>
    <t xml:space="preserve">HEUNG-A HOCHIMINH</t>
  </si>
  <si>
    <t xml:space="preserve">SWCP</t>
  </si>
  <si>
    <t xml:space="preserve">SAWASDEE CAPELLA</t>
  </si>
  <si>
    <t xml:space="preserve">KXM</t>
  </si>
  <si>
    <t xml:space="preserve">KMTC XIAMEN</t>
  </si>
  <si>
    <t xml:space="preserve">DJCF</t>
  </si>
  <si>
    <t xml:space="preserve">DONGJIN CONFIDENT</t>
  </si>
  <si>
    <t xml:space="preserve">0141S</t>
  </si>
  <si>
    <t xml:space="preserve">BUY(SKR)</t>
  </si>
  <si>
    <t xml:space="preserve">SWAL</t>
  </si>
  <si>
    <t xml:space="preserve">SAWASDEE ALTAIR</t>
  </si>
  <si>
    <t xml:space="preserve">0141N</t>
  </si>
  <si>
    <t xml:space="preserve">1059S</t>
  </si>
  <si>
    <t xml:space="preserve">1059N</t>
  </si>
  <si>
    <t xml:space="preserve">ICVY</t>
  </si>
  <si>
    <t xml:space="preserve">INCHEON VOYAGER</t>
  </si>
  <si>
    <t xml:space="preserve">SHVY</t>
  </si>
  <si>
    <t xml:space="preserve">SHANGHAI VOYAGER</t>
  </si>
  <si>
    <t xml:space="preserve">2602S</t>
  </si>
  <si>
    <t xml:space="preserve">2602N</t>
  </si>
  <si>
    <t xml:space="preserve">26001S</t>
  </si>
  <si>
    <t xml:space="preserve">26001N</t>
  </si>
  <si>
    <t xml:space="preserve">0142S</t>
  </si>
  <si>
    <t xml:space="preserve">0142N</t>
  </si>
  <si>
    <t xml:space="preserve">KSP</t>
  </si>
  <si>
    <t xml:space="preserve">KMTC SINGAPORE</t>
  </si>
  <si>
    <t xml:space="preserve">SWBT</t>
  </si>
  <si>
    <t xml:space="preserve">SAWASDEE BALTIC</t>
  </si>
  <si>
    <t xml:space="preserve">2606S</t>
  </si>
  <si>
    <t xml:space="preserve">2606N</t>
  </si>
  <si>
    <t xml:space="preserve">1060S</t>
  </si>
  <si>
    <t xml:space="preserve">1060N</t>
  </si>
  <si>
    <t xml:space="preserve">L1</t>
  </si>
  <si>
    <t xml:space="preserve">9002N</t>
  </si>
  <si>
    <t xml:space="preserve">SWVG</t>
  </si>
  <si>
    <t xml:space="preserve">SAWASDEE VEGA</t>
  </si>
  <si>
    <t xml:space="preserve">KYVY</t>
  </si>
  <si>
    <t xml:space="preserve">KWANGYANG VOYAGER</t>
  </si>
  <si>
    <t xml:space="preserve">2603S</t>
  </si>
  <si>
    <t xml:space="preserve">2603N</t>
  </si>
  <si>
    <t xml:space="preserve">26002S</t>
  </si>
  <si>
    <t xml:space="preserve">0143S</t>
  </si>
  <si>
    <t xml:space="preserve">26002N</t>
  </si>
  <si>
    <t xml:space="preserve">0143N</t>
  </si>
  <si>
    <t xml:space="preserve">1061S</t>
  </si>
  <si>
    <t xml:space="preserve">1061N</t>
  </si>
  <si>
    <t xml:space="preserve">YSVY</t>
  </si>
  <si>
    <t xml:space="preserve">YEOSU VOYAGER</t>
  </si>
  <si>
    <t xml:space="preserve">2607S</t>
  </si>
  <si>
    <t xml:space="preserve">2607N</t>
  </si>
  <si>
    <t xml:space="preserve">PCCP</t>
  </si>
  <si>
    <t xml:space="preserve">PANCON CHAMPION</t>
  </si>
  <si>
    <t xml:space="preserve">2604S</t>
  </si>
  <si>
    <t xml:space="preserve">2604N</t>
  </si>
  <si>
    <t xml:space="preserve">1062S</t>
  </si>
  <si>
    <t xml:space="preserve">1062N</t>
  </si>
  <si>
    <t xml:space="preserve">0144S</t>
  </si>
  <si>
    <t xml:space="preserve">26003S</t>
  </si>
  <si>
    <t xml:space="preserve">0144N</t>
  </si>
  <si>
    <t xml:space="preserve">26003N</t>
  </si>
  <si>
    <t xml:space="preserve">2608S</t>
  </si>
  <si>
    <t xml:space="preserve">2608N</t>
  </si>
  <si>
    <t xml:space="preserve">CNSHK</t>
  </si>
  <si>
    <t xml:space="preserve">2605S</t>
  </si>
  <si>
    <t xml:space="preserve">2605N</t>
  </si>
  <si>
    <t xml:space="preserve">KMBK</t>
  </si>
  <si>
    <t xml:space="preserve">KMTC BANGKOK</t>
  </si>
  <si>
    <t xml:space="preserve">BUY(PCS)</t>
  </si>
  <si>
    <t xml:space="preserve">CNNSA</t>
  </si>
  <si>
    <t xml:space="preserve">0145S</t>
  </si>
  <si>
    <t xml:space="preserve">0145N</t>
  </si>
  <si>
    <t xml:space="preserve">KMPO</t>
  </si>
  <si>
    <t xml:space="preserve">KMTC POHANG</t>
  </si>
  <si>
    <t xml:space="preserve">BUY(KMT)</t>
  </si>
  <si>
    <t xml:space="preserve">26004S</t>
  </si>
  <si>
    <t xml:space="preserve">26004N</t>
  </si>
  <si>
    <t xml:space="preserve">SELL(HSL)</t>
  </si>
  <si>
    <t xml:space="preserve">2609S</t>
  </si>
  <si>
    <t xml:space="preserve">2609N</t>
  </si>
  <si>
    <t xml:space="preserve">0146S</t>
  </si>
  <si>
    <t xml:space="preserve">0146N</t>
  </si>
  <si>
    <t xml:space="preserve">2610S</t>
  </si>
  <si>
    <t xml:space="preserve">2610N</t>
  </si>
  <si>
    <t xml:space="preserve">0147S</t>
  </si>
  <si>
    <t xml:space="preserve">0147N</t>
  </si>
  <si>
    <t xml:space="preserve">CMA</t>
  </si>
  <si>
    <t xml:space="preserve">CA MANILA</t>
  </si>
  <si>
    <t xml:space="preserve">2611S</t>
  </si>
  <si>
    <t xml:space="preserve">2611N</t>
  </si>
  <si>
    <t xml:space="preserve">0148S</t>
  </si>
  <si>
    <t xml:space="preserve">0148N</t>
  </si>
  <si>
    <t xml:space="preserve">2612S</t>
  </si>
  <si>
    <t xml:space="preserve">2612N</t>
  </si>
  <si>
    <t xml:space="preserve">0149S</t>
  </si>
  <si>
    <t xml:space="preserve">0149N</t>
  </si>
  <si>
    <t xml:space="preserve">SDBG</t>
  </si>
  <si>
    <t xml:space="preserve">SYDNEY BRIDGE</t>
  </si>
  <si>
    <t xml:space="preserve">V2</t>
  </si>
  <si>
    <t xml:space="preserve">E</t>
  </si>
  <si>
    <t xml:space="preserve">2605E</t>
  </si>
  <si>
    <t xml:space="preserve">0150S</t>
  </si>
  <si>
    <t xml:space="preserve">0150N</t>
  </si>
  <si>
    <t xml:space="preserve">2614S</t>
  </si>
  <si>
    <t xml:space="preserve">2614N</t>
  </si>
  <si>
    <t xml:space="preserve">2613S</t>
  </si>
  <si>
    <t xml:space="preserve">2613N</t>
  </si>
  <si>
    <t xml:space="preserve">KUS</t>
  </si>
  <si>
    <t xml:space="preserve">KMTC ULSAN</t>
  </si>
</sst>
</file>

<file path=xl/styles.xml><?xml version="1.0" encoding="utf-8"?>
<styleSheet xmlns="http://schemas.openxmlformats.org/spreadsheetml/2006/main">
  <numFmts count="5">
    <numFmt numFmtId="164" formatCode="General"/>
    <numFmt numFmtId="165" formatCode="0.00"/>
    <numFmt numFmtId="166" formatCode="0.0"/>
    <numFmt numFmtId="167" formatCode="yyyy\-mm\-dd\ hh:mm"/>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0"/>
      <name val="Arial"/>
      <family val="0"/>
      <charset val="1"/>
    </font>
    <font>
      <b val="true"/>
      <sz val="10"/>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78"/>
        <bgColor rgb="FF003366"/>
      </patternFill>
    </fill>
    <fill>
      <patternFill patternType="solid">
        <fgColor rgb="FFFDE9D9"/>
        <bgColor rgb="FFF9F9F9"/>
      </patternFill>
    </fill>
    <fill>
      <patternFill patternType="solid">
        <fgColor rgb="FFDCE6F1"/>
        <bgColor rgb="FFD9D9D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08080"/>
      <rgbColor rgb="FFCCCCCC"/>
      <rgbColor rgb="FF878787"/>
      <rgbColor rgb="FF9999FF"/>
      <rgbColor rgb="FFAB4744"/>
      <rgbColor rgb="FFF9F9F9"/>
      <rgbColor rgb="FFDCE6F1"/>
      <rgbColor rgb="FF660066"/>
      <rgbColor rgb="FFD09493"/>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DE9D9"/>
      <rgbColor rgb="FFB3C992"/>
      <rgbColor rgb="FFFF99CC"/>
      <rgbColor rgb="FFCC99FF"/>
      <rgbColor rgb="FFFFCC99"/>
      <rgbColor rgb="FF4F81BD"/>
      <rgbColor rgb="FF4BACC6"/>
      <rgbColor rgb="FF9BBB59"/>
      <rgbColor rgb="FFFFCC00"/>
      <rgbColor rgb="FFF79646"/>
      <rgbColor rgb="FFFF6600"/>
      <rgbColor rgb="FF8064A2"/>
      <rgbColor rgb="FF87A44B"/>
      <rgbColor rgb="FF003366"/>
      <rgbColor rgb="FF339966"/>
      <rgbColor rgb="FF003300"/>
      <rgbColor rgb="FF333300"/>
      <rgbColor rgb="FF993300"/>
      <rgbColor rgb="FFC0504D"/>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Berth Waiting Time by Terminal (Hrs)</a:t>
            </a:r>
          </a:p>
        </c:rich>
      </c:tx>
      <c:overlay val="0"/>
      <c:spPr>
        <a:noFill/>
        <a:ln w="0">
          <a:noFill/>
        </a:ln>
      </c:spPr>
    </c:title>
    <c:autoTitleDeleted val="0"/>
    <c:plotArea>
      <c:barChart>
        <c:barDir val="col"/>
        <c:grouping val="clustered"/>
        <c:varyColors val="0"/>
        <c:ser>
          <c:idx val="0"/>
          <c:order val="0"/>
          <c:tx>
            <c:strRef>
              <c:f>'Terminal Summary'!C5</c:f>
              <c:strCache>
                <c:ptCount val="1"/>
                <c:pt idx="0">
                  <c:v>Avg Wait (Hrs)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'Terminal Summary'!$A$6:$A$7</c:f>
              <c:strCache>
                <c:ptCount val="2"/>
                <c:pt idx="0">
                  <c:v>THBKK</c:v>
                </c:pt>
                <c:pt idx="1">
                  <c:v>THLCH</c:v>
                </c:pt>
              </c:strCache>
            </c:strRef>
          </c:cat>
          <c:val>
            <c:numRef>
              <c:f>'Terminal Summary'!$C$6:$C$7</c:f>
              <c:numCache>
                <c:formatCode>0.00</c:formatCode>
                <c:ptCount val="2"/>
                <c:pt idx="0">
                  <c:v>11.2094114832536</c:v>
                </c:pt>
                <c:pt idx="1">
                  <c:v>3.97271891304348</c:v>
                </c:pt>
              </c:numCache>
            </c:numRef>
          </c:val>
        </c:ser>
        <c:gapWidth val="150"/>
        <c:overlap val="0"/>
        <c:axId val="64471272"/>
        <c:axId val="62686844"/>
      </c:barChart>
      <c:catAx>
        <c:axId val="6447127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Terminal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686844"/>
        <c:crosses val="autoZero"/>
        <c:auto val="1"/>
        <c:lblAlgn val="ctr"/>
        <c:lblOffset val="100"/>
        <c:noMultiLvlLbl val="0"/>
      </c:catAx>
      <c:valAx>
        <c:axId val="626868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Wait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712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Waiting Time by Wharf/Berth (Hrs)</a:t>
            </a:r>
          </a:p>
        </c:rich>
      </c:tx>
      <c:overlay val="0"/>
      <c:spPr>
        <a:noFill/>
        <a:ln w="0">
          <a:noFill/>
        </a:ln>
      </c:spPr>
    </c:title>
    <c:autoTitleDeleted val="0"/>
    <c:plotArea>
      <c:barChart>
        <c:barDir val="col"/>
        <c:grouping val="clustered"/>
        <c:varyColors val="0"/>
        <c:ser>
          <c:idx val="0"/>
          <c:order val="0"/>
          <c:tx>
            <c:strRef>
              <c:f>'Terminal Summary'!D12</c:f>
              <c:strCache>
                <c:ptCount val="1"/>
                <c:pt idx="0">
                  <c:v>Avg Wait (Hrs)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'Terminal Summary'!$B$13:$B$24</c:f>
              <c:strCache>
                <c:ptCount val="12"/>
                <c:pt idx="0">
                  <c:v>BKK01</c:v>
                </c:pt>
                <c:pt idx="1">
                  <c:v>BKK02</c:v>
                </c:pt>
                <c:pt idx="2">
                  <c:v>BKK04</c:v>
                </c:pt>
                <c:pt idx="3">
                  <c:v>LCH01</c:v>
                </c:pt>
                <c:pt idx="4">
                  <c:v>LCH02</c:v>
                </c:pt>
                <c:pt idx="5">
                  <c:v>LCH03</c:v>
                </c:pt>
                <c:pt idx="6">
                  <c:v>LCH04</c:v>
                </c:pt>
                <c:pt idx="7">
                  <c:v>LCH05</c:v>
                </c:pt>
                <c:pt idx="8">
                  <c:v>LCH06</c:v>
                </c:pt>
                <c:pt idx="9">
                  <c:v>LCH07</c:v>
                </c:pt>
                <c:pt idx="10">
                  <c:v>LCH08</c:v>
                </c:pt>
                <c:pt idx="11">
                  <c:v>LCH10</c:v>
                </c:pt>
              </c:strCache>
            </c:strRef>
          </c:cat>
          <c:val>
            <c:numRef>
              <c:f>'Terminal Summary'!$D$13:$D$24</c:f>
              <c:numCache>
                <c:formatCode>0.00</c:formatCode>
                <c:ptCount val="12"/>
                <c:pt idx="0">
                  <c:v>15.0556758241758</c:v>
                </c:pt>
                <c:pt idx="1">
                  <c:v>4.0906328125</c:v>
                </c:pt>
                <c:pt idx="2">
                  <c:v>13.1648148148148</c:v>
                </c:pt>
                <c:pt idx="3">
                  <c:v>4.52916710526316</c:v>
                </c:pt>
                <c:pt idx="4">
                  <c:v>2.19015909090909</c:v>
                </c:pt>
                <c:pt idx="5">
                  <c:v>3.5</c:v>
                </c:pt>
                <c:pt idx="6">
                  <c:v>3.98626192468619</c:v>
                </c:pt>
                <c:pt idx="7">
                  <c:v>4.70643253012048</c:v>
                </c:pt>
                <c:pt idx="8">
                  <c:v>0.9</c:v>
                </c:pt>
                <c:pt idx="9">
                  <c:v>1.23636363636364</c:v>
                </c:pt>
                <c:pt idx="10">
                  <c:v>9</c:v>
                </c:pt>
                <c:pt idx="11">
                  <c:v>1.76470588235294</c:v>
                </c:pt>
              </c:numCache>
            </c:numRef>
          </c:val>
        </c:ser>
        <c:gapWidth val="150"/>
        <c:overlap val="0"/>
        <c:axId val="73858769"/>
        <c:axId val="64460447"/>
      </c:barChart>
      <c:catAx>
        <c:axId val="738587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60447"/>
        <c:crosses val="autoZero"/>
        <c:auto val="1"/>
        <c:lblAlgn val="ctr"/>
        <c:lblOffset val="100"/>
        <c:noMultiLvlLbl val="0"/>
      </c:catAx>
      <c:valAx>
        <c:axId val="6446044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Wait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8587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Waiting Time by Service — Overall (Hrs)</a:t>
            </a:r>
          </a:p>
        </c:rich>
      </c:tx>
      <c:overlay val="0"/>
      <c:spPr>
        <a:noFill/>
        <a:ln w="0">
          <a:noFill/>
        </a:ln>
      </c:spPr>
    </c:title>
    <c:autoTitleDeleted val="0"/>
    <c:plotArea>
      <c:barChart>
        <c:barDir val="col"/>
        <c:grouping val="clustered"/>
        <c:varyColors val="0"/>
        <c:ser>
          <c:idx val="0"/>
          <c:order val="0"/>
          <c:tx>
            <c:strRef>
              <c:f>'Service Summary'!C3</c:f>
              <c:strCache>
                <c:ptCount val="1"/>
                <c:pt idx="0">
                  <c:v>Avg Wait (Hrs)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'Service Summary'!$A$4:$A$14</c:f>
              <c:strCache>
                <c:ptCount val="11"/>
                <c:pt idx="0">
                  <c:v>KST</c:v>
                </c:pt>
                <c:pt idx="1">
                  <c:v>VTS</c:v>
                </c:pt>
                <c:pt idx="2">
                  <c:v>NTX</c:v>
                </c:pt>
                <c:pt idx="3">
                  <c:v>KHS1</c:v>
                </c:pt>
                <c:pt idx="4">
                  <c:v>CHT</c:v>
                </c:pt>
                <c:pt idx="5">
                  <c:v>KTS1</c:v>
                </c:pt>
                <c:pt idx="6">
                  <c:v>BTS</c:v>
                </c:pt>
                <c:pt idx="7">
                  <c:v>ANX</c:v>
                </c:pt>
                <c:pt idx="8">
                  <c:v>PCI2</c:v>
                </c:pt>
                <c:pt idx="9">
                  <c:v>EPS</c:v>
                </c:pt>
                <c:pt idx="10">
                  <c:v>ADHS</c:v>
                </c:pt>
              </c:strCache>
            </c:strRef>
          </c:cat>
          <c:val>
            <c:numRef>
              <c:f>'Service Summary'!$C$4:$C$14</c:f>
              <c:numCache>
                <c:formatCode>0.00</c:formatCode>
                <c:ptCount val="11"/>
                <c:pt idx="0">
                  <c:v>3.547177</c:v>
                </c:pt>
                <c:pt idx="1">
                  <c:v>6.19911170212766</c:v>
                </c:pt>
                <c:pt idx="2">
                  <c:v>3.91971397849462</c:v>
                </c:pt>
                <c:pt idx="3">
                  <c:v>9.52026477272727</c:v>
                </c:pt>
                <c:pt idx="4">
                  <c:v>6.69767441860465</c:v>
                </c:pt>
                <c:pt idx="5">
                  <c:v>6.84265833333333</c:v>
                </c:pt>
                <c:pt idx="6">
                  <c:v>9.02647058823529</c:v>
                </c:pt>
                <c:pt idx="7">
                  <c:v>6.24444444444444</c:v>
                </c:pt>
                <c:pt idx="8">
                  <c:v>1.95494444444444</c:v>
                </c:pt>
                <c:pt idx="9">
                  <c:v>19.5</c:v>
                </c:pt>
                <c:pt idx="10">
                  <c:v>25</c:v>
                </c:pt>
              </c:numCache>
            </c:numRef>
          </c:val>
        </c:ser>
        <c:gapWidth val="150"/>
        <c:overlap val="0"/>
        <c:axId val="91944579"/>
        <c:axId val="71051428"/>
      </c:barChart>
      <c:catAx>
        <c:axId val="919445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051428"/>
        <c:crosses val="autoZero"/>
        <c:auto val="1"/>
        <c:lblAlgn val="ctr"/>
        <c:lblOffset val="100"/>
        <c:noMultiLvlLbl val="0"/>
      </c:catAx>
      <c:valAx>
        <c:axId val="7105142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Wait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9445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Waiting Time by Operator (OPR) — Overall (Hrs)</a:t>
            </a:r>
          </a:p>
        </c:rich>
      </c:tx>
      <c:overlay val="0"/>
      <c:spPr>
        <a:noFill/>
        <a:ln w="0">
          <a:noFill/>
        </a:ln>
      </c:spPr>
    </c:title>
    <c:autoTitleDeleted val="0"/>
    <c:plotArea>
      <c:barChart>
        <c:barDir val="col"/>
        <c:grouping val="clustered"/>
        <c:varyColors val="0"/>
        <c:ser>
          <c:idx val="0"/>
          <c:order val="0"/>
          <c:tx>
            <c:strRef>
              <c:f>'Operator Summary'!C3</c:f>
              <c:strCache>
                <c:ptCount val="1"/>
                <c:pt idx="0">
                  <c:v>Avg Wait (Hrs)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'Operator Summary'!$A$4:$A$12</c:f>
              <c:strCache>
                <c:ptCount val="9"/>
                <c:pt idx="0">
                  <c:v>SKR</c:v>
                </c:pt>
                <c:pt idx="1">
                  <c:v>KMT</c:v>
                </c:pt>
                <c:pt idx="2">
                  <c:v>CKL</c:v>
                </c:pt>
                <c:pt idx="3">
                  <c:v>NAM</c:v>
                </c:pt>
                <c:pt idx="4">
                  <c:v>HAS</c:v>
                </c:pt>
                <c:pt idx="5">
                  <c:v>DJS</c:v>
                </c:pt>
                <c:pt idx="6">
                  <c:v>TSL</c:v>
                </c:pt>
                <c:pt idx="7">
                  <c:v>PCS</c:v>
                </c:pt>
                <c:pt idx="8">
                  <c:v>PAN</c:v>
                </c:pt>
              </c:strCache>
            </c:strRef>
          </c:cat>
          <c:val>
            <c:numRef>
              <c:f>'Operator Summary'!$C$4:$C$12</c:f>
              <c:numCache>
                <c:formatCode>0.00</c:formatCode>
                <c:ptCount val="9"/>
                <c:pt idx="0">
                  <c:v>6.93521126760563</c:v>
                </c:pt>
                <c:pt idx="1">
                  <c:v>6.33234166666667</c:v>
                </c:pt>
                <c:pt idx="2">
                  <c:v>4.34667111111111</c:v>
                </c:pt>
                <c:pt idx="3">
                  <c:v>5.3754175</c:v>
                </c:pt>
                <c:pt idx="4">
                  <c:v>7.81713055555556</c:v>
                </c:pt>
                <c:pt idx="5">
                  <c:v>3.98444666666667</c:v>
                </c:pt>
                <c:pt idx="6">
                  <c:v>5.48148148148148</c:v>
                </c:pt>
                <c:pt idx="7">
                  <c:v>6.5882125</c:v>
                </c:pt>
                <c:pt idx="8">
                  <c:v>1.27334666666667</c:v>
                </c:pt>
              </c:numCache>
            </c:numRef>
          </c:val>
        </c:ser>
        <c:gapWidth val="150"/>
        <c:overlap val="0"/>
        <c:axId val="67369806"/>
        <c:axId val="84233377"/>
      </c:barChart>
      <c:catAx>
        <c:axId val="673698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233377"/>
        <c:crosses val="autoZero"/>
        <c:auto val="1"/>
        <c:lblAlgn val="ctr"/>
        <c:lblOffset val="100"/>
        <c:noMultiLvlLbl val="0"/>
      </c:catAx>
      <c:valAx>
        <c:axId val="8423337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Wait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698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Average Berth Waiting Time — THBKK vs THLCH</a:t>
            </a:r>
          </a:p>
        </c:rich>
      </c:tx>
      <c:overlay val="0"/>
      <c:spPr>
        <a:noFill/>
        <a:ln w="0">
          <a:noFill/>
        </a:ln>
      </c:spPr>
    </c:title>
    <c:autoTitleDeleted val="0"/>
    <c:plotArea>
      <c:lineChart>
        <c:grouping val="standard"/>
        <c:varyColors val="0"/>
        <c:ser>
          <c:idx val="0"/>
          <c:order val="0"/>
          <c:tx>
            <c:strRef>
              <c:f>'Monthly Trend'!B3</c:f>
              <c:strCache>
                <c:ptCount val="1"/>
                <c:pt idx="0">
                  <c:v>THBKK Avg Wait (Hrs)</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Trend'!$A$4:$A$12</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'Monthly Trend'!$B$4:$B$12</c:f>
              <c:numCache>
                <c:formatCode>0.00</c:formatCode>
                <c:ptCount val="9"/>
                <c:pt idx="0">
                  <c:v>10.3400033333333</c:v>
                </c:pt>
                <c:pt idx="1">
                  <c:v>16.742668</c:v>
                </c:pt>
                <c:pt idx="2">
                  <c:v>16.5006423076923</c:v>
                </c:pt>
                <c:pt idx="3">
                  <c:v>8.63623043478261</c:v>
                </c:pt>
                <c:pt idx="4">
                  <c:v>8.23846538461539</c:v>
                </c:pt>
                <c:pt idx="5">
                  <c:v>9.37917083333333</c:v>
                </c:pt>
                <c:pt idx="6">
                  <c:v>13.5173913043478</c:v>
                </c:pt>
                <c:pt idx="7">
                  <c:v>8.19347826086957</c:v>
                </c:pt>
                <c:pt idx="8">
                  <c:v>5.3</c:v>
                </c:pt>
              </c:numCache>
            </c:numRef>
          </c:val>
          <c:smooth val="1"/>
        </c:ser>
        <c:ser>
          <c:idx val="1"/>
          <c:order val="1"/>
          <c:tx>
            <c:strRef>
              <c:f>'Monthly Trend'!C3</c:f>
              <c:strCache>
                <c:ptCount val="1"/>
                <c:pt idx="0">
                  <c:v>THLCH Avg Wait (Hrs)</c:v>
                </c:pt>
              </c:strCache>
            </c:strRef>
          </c:tx>
          <c:spPr>
            <a:solidFill>
              <a:srgbClr val="b3c992"/>
            </a:solidFill>
            <a:ln w="47520">
              <a:solidFill>
                <a:srgbClr val="b3c99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Trend'!$A$4:$A$12</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'Monthly Trend'!$C$4:$C$12</c:f>
              <c:numCache>
                <c:formatCode>0.00</c:formatCode>
                <c:ptCount val="9"/>
                <c:pt idx="0">
                  <c:v>3.05901967213115</c:v>
                </c:pt>
                <c:pt idx="1">
                  <c:v>4.19779811320755</c:v>
                </c:pt>
                <c:pt idx="2">
                  <c:v>6.51242363636364</c:v>
                </c:pt>
                <c:pt idx="3">
                  <c:v>3.43456851851852</c:v>
                </c:pt>
                <c:pt idx="4">
                  <c:v>4.14386315789474</c:v>
                </c:pt>
                <c:pt idx="5">
                  <c:v>2.60653725490196</c:v>
                </c:pt>
                <c:pt idx="6">
                  <c:v>3.65744285714286</c:v>
                </c:pt>
                <c:pt idx="7">
                  <c:v>4.88818363636364</c:v>
                </c:pt>
                <c:pt idx="8">
                  <c:v>1.77315</c:v>
                </c:pt>
              </c:numCache>
            </c:numRef>
          </c:val>
          <c:smooth val="1"/>
        </c:ser>
        <c:hiLowLines>
          <c:spPr>
            <a:ln w="0">
              <a:noFill/>
            </a:ln>
          </c:spPr>
        </c:hiLowLines>
        <c:marker val="0"/>
        <c:axId val="81858315"/>
        <c:axId val="34728546"/>
      </c:lineChart>
      <c:catAx>
        <c:axId val="8185831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728546"/>
        <c:crosses val="autoZero"/>
        <c:auto val="1"/>
        <c:lblAlgn val="ctr"/>
        <c:lblOffset val="100"/>
        <c:noMultiLvlLbl val="0"/>
      </c:catAx>
      <c:valAx>
        <c:axId val="3472854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Wait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8583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Waiting Time Distribution by Terminal</a:t>
            </a:r>
          </a:p>
        </c:rich>
      </c:tx>
      <c:overlay val="0"/>
      <c:spPr>
        <a:noFill/>
        <a:ln w="0">
          <a:noFill/>
        </a:ln>
      </c:spPr>
    </c:title>
    <c:autoTitleDeleted val="0"/>
    <c:plotArea>
      <c:barChart>
        <c:barDir val="col"/>
        <c:grouping val="clustered"/>
        <c:varyColors val="0"/>
        <c:ser>
          <c:idx val="0"/>
          <c:order val="0"/>
          <c:tx>
            <c:strRef>
              <c:f>'Wait Distribution'!B3</c:f>
              <c:strCache>
                <c:ptCount val="1"/>
                <c:pt idx="0">
                  <c:v>0-1 Hrs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'Wait Distribution'!$A$4:$A$5</c:f>
              <c:strCache>
                <c:ptCount val="2"/>
                <c:pt idx="0">
                  <c:v>THBKK</c:v>
                </c:pt>
                <c:pt idx="1">
                  <c:v>THLCH</c:v>
                </c:pt>
              </c:strCache>
            </c:strRef>
          </c:cat>
          <c:val>
            <c:numRef>
              <c:f>'Wait Distribution'!$B$4:$B$5</c:f>
              <c:numCache>
                <c:formatCode>General</c:formatCode>
                <c:ptCount val="2"/>
                <c:pt idx="0">
                  <c:v>18</c:v>
                </c:pt>
                <c:pt idx="1">
                  <c:v>284</c:v>
                </c:pt>
              </c:numCache>
            </c:numRef>
          </c:val>
        </c:ser>
        <c:ser>
          <c:idx val="1"/>
          <c:order val="1"/>
          <c:tx>
            <c:strRef>
              <c:f>'Wait Distribution'!C3</c:f>
              <c:strCache>
                <c:ptCount val="1"/>
                <c:pt idx="0">
                  <c:v>1-2 Hrs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'Wait Distribution'!$A$4:$A$5</c:f>
              <c:strCache>
                <c:ptCount val="2"/>
                <c:pt idx="0">
                  <c:v>THBKK</c:v>
                </c:pt>
                <c:pt idx="1">
                  <c:v>THLCH</c:v>
                </c:pt>
              </c:strCache>
            </c:strRef>
          </c:cat>
          <c:val>
            <c:numRef>
              <c:f>'Wait Distribution'!$C$4:$C$5</c:f>
              <c:numCache>
                <c:formatCode>General</c:formatCode>
                <c:ptCount val="2"/>
                <c:pt idx="0">
                  <c:v>22</c:v>
                </c:pt>
                <c:pt idx="1">
                  <c:v>30</c:v>
                </c:pt>
              </c:numCache>
            </c:numRef>
          </c:val>
        </c:ser>
        <c:ser>
          <c:idx val="2"/>
          <c:order val="2"/>
          <c:tx>
            <c:strRef>
              <c:f>'Wait Distribution'!D3</c:f>
              <c:strCache>
                <c:ptCount val="1"/>
                <c:pt idx="0">
                  <c:v>2-4 Hrs</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'Wait Distribution'!$A$4:$A$5</c:f>
              <c:strCache>
                <c:ptCount val="2"/>
                <c:pt idx="0">
                  <c:v>THBKK</c:v>
                </c:pt>
                <c:pt idx="1">
                  <c:v>THLCH</c:v>
                </c:pt>
              </c:strCache>
            </c:strRef>
          </c:cat>
          <c:val>
            <c:numRef>
              <c:f>'Wait Distribution'!$D$4:$D$5</c:f>
              <c:numCache>
                <c:formatCode>General</c:formatCode>
                <c:ptCount val="2"/>
                <c:pt idx="0">
                  <c:v>38</c:v>
                </c:pt>
                <c:pt idx="1">
                  <c:v>32</c:v>
                </c:pt>
              </c:numCache>
            </c:numRef>
          </c:val>
        </c:ser>
        <c:ser>
          <c:idx val="3"/>
          <c:order val="3"/>
          <c:tx>
            <c:strRef>
              <c:f>'Wait Distribution'!E3</c:f>
              <c:strCache>
                <c:ptCount val="1"/>
                <c:pt idx="0">
                  <c:v>4-8 Hrs</c:v>
                </c:pt>
              </c:strCache>
            </c:strRef>
          </c:tx>
          <c:spPr>
            <a:solidFill>
              <a:srgbClr val="8064a2"/>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'Wait Distribution'!$A$4:$A$5</c:f>
              <c:strCache>
                <c:ptCount val="2"/>
                <c:pt idx="0">
                  <c:v>THBKK</c:v>
                </c:pt>
                <c:pt idx="1">
                  <c:v>THLCH</c:v>
                </c:pt>
              </c:strCache>
            </c:strRef>
          </c:cat>
          <c:val>
            <c:numRef>
              <c:f>'Wait Distribution'!$E$4:$E$5</c:f>
              <c:numCache>
                <c:formatCode>General</c:formatCode>
                <c:ptCount val="2"/>
                <c:pt idx="0">
                  <c:v>26</c:v>
                </c:pt>
                <c:pt idx="1">
                  <c:v>49</c:v>
                </c:pt>
              </c:numCache>
            </c:numRef>
          </c:val>
        </c:ser>
        <c:ser>
          <c:idx val="4"/>
          <c:order val="4"/>
          <c:tx>
            <c:strRef>
              <c:f>'Wait Distribution'!F3</c:f>
              <c:strCache>
                <c:ptCount val="1"/>
                <c:pt idx="0">
                  <c:v>8-24 Hrs</c:v>
                </c:pt>
              </c:strCache>
            </c:strRef>
          </c:tx>
          <c:spPr>
            <a:solidFill>
              <a:srgbClr val="4bacc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'Wait Distribution'!$A$4:$A$5</c:f>
              <c:strCache>
                <c:ptCount val="2"/>
                <c:pt idx="0">
                  <c:v>THBKK</c:v>
                </c:pt>
                <c:pt idx="1">
                  <c:v>THLCH</c:v>
                </c:pt>
              </c:strCache>
            </c:strRef>
          </c:cat>
          <c:val>
            <c:numRef>
              <c:f>'Wait Distribution'!$F$4:$F$5</c:f>
              <c:numCache>
                <c:formatCode>General</c:formatCode>
                <c:ptCount val="2"/>
                <c:pt idx="0">
                  <c:v>83</c:v>
                </c:pt>
                <c:pt idx="1">
                  <c:v>53</c:v>
                </c:pt>
              </c:numCache>
            </c:numRef>
          </c:val>
        </c:ser>
        <c:ser>
          <c:idx val="5"/>
          <c:order val="5"/>
          <c:tx>
            <c:strRef>
              <c:f>'Wait Distribution'!G3</c:f>
              <c:strCache>
                <c:ptCount val="1"/>
                <c:pt idx="0">
                  <c:v>&gt;24 Hrs</c:v>
                </c:pt>
              </c:strCache>
            </c:strRef>
          </c:tx>
          <c:spPr>
            <a:solidFill>
              <a:srgbClr val="f7964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'Wait Distribution'!$A$4:$A$5</c:f>
              <c:strCache>
                <c:ptCount val="2"/>
                <c:pt idx="0">
                  <c:v>THBKK</c:v>
                </c:pt>
                <c:pt idx="1">
                  <c:v>THLCH</c:v>
                </c:pt>
              </c:strCache>
            </c:strRef>
          </c:cat>
          <c:val>
            <c:numRef>
              <c:f>'Wait Distribution'!$G$4:$G$5</c:f>
              <c:numCache>
                <c:formatCode>General</c:formatCode>
                <c:ptCount val="2"/>
                <c:pt idx="0">
                  <c:v>22</c:v>
                </c:pt>
                <c:pt idx="1">
                  <c:v>12</c:v>
                </c:pt>
              </c:numCache>
            </c:numRef>
          </c:val>
        </c:ser>
        <c:gapWidth val="150"/>
        <c:overlap val="0"/>
        <c:axId val="31196000"/>
        <c:axId val="87301021"/>
      </c:barChart>
      <c:catAx>
        <c:axId val="311960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301021"/>
        <c:crosses val="autoZero"/>
        <c:auto val="1"/>
        <c:lblAlgn val="ctr"/>
        <c:lblOffset val="100"/>
        <c:noMultiLvlLbl val="0"/>
      </c:catAx>
      <c:valAx>
        <c:axId val="8730102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Calls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19600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ETB (Berthing) Time-of-Day Pattern — Tidal Signature at THBKK</a:t>
            </a:r>
          </a:p>
        </c:rich>
      </c:tx>
      <c:overlay val="0"/>
      <c:spPr>
        <a:noFill/>
        <a:ln w="0">
          <a:noFill/>
        </a:ln>
      </c:spPr>
    </c:title>
    <c:autoTitleDeleted val="0"/>
    <c:plotArea>
      <c:lineChart>
        <c:grouping val="standard"/>
        <c:varyColors val="0"/>
        <c:ser>
          <c:idx val="0"/>
          <c:order val="0"/>
          <c:tx>
            <c:strRef>
              <c:f>'Operational Insights'!B6</c:f>
              <c:strCache>
                <c:ptCount val="1"/>
                <c:pt idx="0">
                  <c:v>THBKK % of Berthings</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'Operational Insights'!$A$7:$A$30</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'Operational Insights'!$B$7:$B$30</c:f>
              <c:numCache>
                <c:formatCode>0.0%</c:formatCode>
                <c:ptCount val="24"/>
                <c:pt idx="0">
                  <c:v>0.0191387559808612</c:v>
                </c:pt>
                <c:pt idx="1">
                  <c:v>0.0334928229665072</c:v>
                </c:pt>
                <c:pt idx="2">
                  <c:v>0.0191387559808612</c:v>
                </c:pt>
                <c:pt idx="3">
                  <c:v>0.0239234449760766</c:v>
                </c:pt>
                <c:pt idx="4">
                  <c:v>0.0191387559808612</c:v>
                </c:pt>
                <c:pt idx="5">
                  <c:v>0.0430622009569378</c:v>
                </c:pt>
                <c:pt idx="6">
                  <c:v>0.0382775119617225</c:v>
                </c:pt>
                <c:pt idx="7">
                  <c:v>0.076555023923445</c:v>
                </c:pt>
                <c:pt idx="8">
                  <c:v>0.0861244019138756</c:v>
                </c:pt>
                <c:pt idx="9">
                  <c:v>0.0478468899521531</c:v>
                </c:pt>
                <c:pt idx="10">
                  <c:v>0.0382775119617225</c:v>
                </c:pt>
                <c:pt idx="11">
                  <c:v>0.0191387559808612</c:v>
                </c:pt>
                <c:pt idx="12">
                  <c:v>0.0239234449760766</c:v>
                </c:pt>
                <c:pt idx="13">
                  <c:v>0.0191387559808612</c:v>
                </c:pt>
                <c:pt idx="14">
                  <c:v>0.00478468899521531</c:v>
                </c:pt>
                <c:pt idx="15">
                  <c:v>0.0191387559808612</c:v>
                </c:pt>
                <c:pt idx="16">
                  <c:v>0.0287081339712919</c:v>
                </c:pt>
                <c:pt idx="17">
                  <c:v>0.0334928229665072</c:v>
                </c:pt>
                <c:pt idx="18">
                  <c:v>0.0430622009569378</c:v>
                </c:pt>
                <c:pt idx="19">
                  <c:v>0.0574162679425837</c:v>
                </c:pt>
                <c:pt idx="20">
                  <c:v>0.0717703349282297</c:v>
                </c:pt>
                <c:pt idx="21">
                  <c:v>0.100478468899522</c:v>
                </c:pt>
                <c:pt idx="22">
                  <c:v>0.076555023923445</c:v>
                </c:pt>
                <c:pt idx="23">
                  <c:v>0.0574162679425837</c:v>
                </c:pt>
              </c:numCache>
            </c:numRef>
          </c:val>
          <c:smooth val="1"/>
        </c:ser>
        <c:ser>
          <c:idx val="1"/>
          <c:order val="1"/>
          <c:tx>
            <c:strRef>
              <c:f>'Operational Insights'!C6</c:f>
              <c:strCache>
                <c:ptCount val="1"/>
                <c:pt idx="0">
                  <c:v>THLCH % of Berthings</c:v>
                </c:pt>
              </c:strCache>
            </c:strRef>
          </c:tx>
          <c:spPr>
            <a:solidFill>
              <a:srgbClr val="b3c992"/>
            </a:solidFill>
            <a:ln w="47520">
              <a:solidFill>
                <a:srgbClr val="b3c99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'Operational Insights'!$A$7:$A$30</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'Operational Insights'!$C$7:$C$30</c:f>
              <c:numCache>
                <c:formatCode>0.0%</c:formatCode>
                <c:ptCount val="24"/>
                <c:pt idx="0">
                  <c:v>0.0478260869565217</c:v>
                </c:pt>
                <c:pt idx="1">
                  <c:v>0.05</c:v>
                </c:pt>
                <c:pt idx="2">
                  <c:v>0.0282608695652174</c:v>
                </c:pt>
                <c:pt idx="3">
                  <c:v>0.0304347826086957</c:v>
                </c:pt>
                <c:pt idx="4">
                  <c:v>0.0456521739130435</c:v>
                </c:pt>
                <c:pt idx="5">
                  <c:v>0.05</c:v>
                </c:pt>
                <c:pt idx="6">
                  <c:v>0.0369565217391304</c:v>
                </c:pt>
                <c:pt idx="7">
                  <c:v>0.0369565217391304</c:v>
                </c:pt>
                <c:pt idx="8">
                  <c:v>0.0239130434782609</c:v>
                </c:pt>
                <c:pt idx="9">
                  <c:v>0.0478260869565217</c:v>
                </c:pt>
                <c:pt idx="10">
                  <c:v>0.0347826086956522</c:v>
                </c:pt>
                <c:pt idx="11">
                  <c:v>0.058695652173913</c:v>
                </c:pt>
                <c:pt idx="12">
                  <c:v>0.0369565217391304</c:v>
                </c:pt>
                <c:pt idx="13">
                  <c:v>0.0434782608695652</c:v>
                </c:pt>
                <c:pt idx="14">
                  <c:v>0.041304347826087</c:v>
                </c:pt>
                <c:pt idx="15">
                  <c:v>0.0239130434782609</c:v>
                </c:pt>
                <c:pt idx="16">
                  <c:v>0.0282608695652174</c:v>
                </c:pt>
                <c:pt idx="17">
                  <c:v>0.0521739130434783</c:v>
                </c:pt>
                <c:pt idx="18">
                  <c:v>0.0391304347826087</c:v>
                </c:pt>
                <c:pt idx="19">
                  <c:v>0.0434782608695652</c:v>
                </c:pt>
                <c:pt idx="20">
                  <c:v>0.0543478260869565</c:v>
                </c:pt>
                <c:pt idx="21">
                  <c:v>0.0456521739130435</c:v>
                </c:pt>
                <c:pt idx="22">
                  <c:v>0.05</c:v>
                </c:pt>
                <c:pt idx="23">
                  <c:v>0.05</c:v>
                </c:pt>
              </c:numCache>
            </c:numRef>
          </c:val>
          <c:smooth val="1"/>
        </c:ser>
        <c:hiLowLines>
          <c:spPr>
            <a:ln w="0">
              <a:noFill/>
            </a:ln>
          </c:spPr>
        </c:hiLowLines>
        <c:marker val="0"/>
        <c:axId val="45655136"/>
        <c:axId val="21296775"/>
      </c:lineChart>
      <c:catAx>
        <c:axId val="456551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296775"/>
        <c:crosses val="autoZero"/>
        <c:auto val="1"/>
        <c:lblAlgn val="ctr"/>
        <c:lblOffset val="100"/>
        <c:noMultiLvlLbl val="0"/>
      </c:catAx>
      <c:valAx>
        <c:axId val="2129677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Terminal Berthings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65513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Port Time: Waiting vs Berth Occupancy (Hrs)</a:t>
            </a:r>
          </a:p>
        </c:rich>
      </c:tx>
      <c:overlay val="0"/>
      <c:spPr>
        <a:noFill/>
        <a:ln w="0">
          <a:noFill/>
        </a:ln>
      </c:spPr>
    </c:title>
    <c:autoTitleDeleted val="0"/>
    <c:plotArea>
      <c:barChart>
        <c:barDir val="bar"/>
        <c:grouping val="stacked"/>
        <c:varyColors val="0"/>
        <c:ser>
          <c:idx val="0"/>
          <c:order val="0"/>
          <c:tx>
            <c:strRef>
              <c:f>'Operational Insights'!C36</c:f>
              <c:strCache>
                <c:ptCount val="1"/>
                <c:pt idx="0">
                  <c:v>Avg Wait (Hrs)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'Operational Insights'!$A$37:$A$38</c:f>
              <c:strCache>
                <c:ptCount val="2"/>
                <c:pt idx="0">
                  <c:v>THBKK</c:v>
                </c:pt>
                <c:pt idx="1">
                  <c:v>THLCH</c:v>
                </c:pt>
              </c:strCache>
            </c:strRef>
          </c:cat>
          <c:val>
            <c:numRef>
              <c:f>'Operational Insights'!$C$37:$C$38</c:f>
              <c:numCache>
                <c:formatCode>0.00</c:formatCode>
                <c:ptCount val="2"/>
                <c:pt idx="0">
                  <c:v>11.2094114832536</c:v>
                </c:pt>
                <c:pt idx="1">
                  <c:v>3.97271891304348</c:v>
                </c:pt>
              </c:numCache>
            </c:numRef>
          </c:val>
        </c:ser>
        <c:ser>
          <c:idx val="1"/>
          <c:order val="1"/>
          <c:tx>
            <c:strRef>
              <c:f>'Operational Insights'!D36</c:f>
              <c:strCache>
                <c:ptCount val="1"/>
                <c:pt idx="0">
                  <c:v>Avg Berth Occupancy (Hrs)</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'Operational Insights'!$A$37:$A$38</c:f>
              <c:strCache>
                <c:ptCount val="2"/>
                <c:pt idx="0">
                  <c:v>THBKK</c:v>
                </c:pt>
                <c:pt idx="1">
                  <c:v>THLCH</c:v>
                </c:pt>
              </c:strCache>
            </c:strRef>
          </c:cat>
          <c:val>
            <c:numRef>
              <c:f>'Operational Insights'!$D$37:$D$38</c:f>
              <c:numCache>
                <c:formatCode>0.00</c:formatCode>
                <c:ptCount val="2"/>
                <c:pt idx="0">
                  <c:v>29.7256009569378</c:v>
                </c:pt>
                <c:pt idx="1">
                  <c:v>10.4510160869565</c:v>
                </c:pt>
              </c:numCache>
            </c:numRef>
          </c:val>
        </c:ser>
        <c:gapWidth val="150"/>
        <c:overlap val="100"/>
        <c:axId val="91094212"/>
        <c:axId val="4127239"/>
      </c:barChart>
      <c:catAx>
        <c:axId val="910942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27239"/>
        <c:crosses val="autoZero"/>
        <c:auto val="1"/>
        <c:lblAlgn val="ctr"/>
        <c:lblOffset val="100"/>
        <c:noMultiLvlLbl val="0"/>
      </c:catAx>
      <c:valAx>
        <c:axId val="4127239"/>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0942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Waiting Time by Day of Week</a:t>
            </a:r>
          </a:p>
        </c:rich>
      </c:tx>
      <c:overlay val="0"/>
      <c:spPr>
        <a:noFill/>
        <a:ln w="0">
          <a:noFill/>
        </a:ln>
      </c:spPr>
    </c:title>
    <c:autoTitleDeleted val="0"/>
    <c:plotArea>
      <c:barChart>
        <c:barDir val="col"/>
        <c:grouping val="clustered"/>
        <c:varyColors val="0"/>
        <c:ser>
          <c:idx val="0"/>
          <c:order val="0"/>
          <c:tx>
            <c:strRef>
              <c:f>'Operational Insights'!B49</c:f>
              <c:strCache>
                <c:ptCount val="1"/>
                <c:pt idx="0">
                  <c:v>THBKK Avg Wait (Hrs)</c:v>
                </c:pt>
              </c:strCache>
            </c:strRef>
          </c:tx>
          <c:spPr>
            <a:solidFill>
              <a:srgbClr val="ab474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'Operational Insights'!$A$50:$A$56</c:f>
              <c:strCache>
                <c:ptCount val="7"/>
                <c:pt idx="0">
                  <c:v>Monday</c:v>
                </c:pt>
                <c:pt idx="1">
                  <c:v>Tuesday</c:v>
                </c:pt>
                <c:pt idx="2">
                  <c:v>Wednesday</c:v>
                </c:pt>
                <c:pt idx="3">
                  <c:v>Thursday</c:v>
                </c:pt>
                <c:pt idx="4">
                  <c:v>Friday</c:v>
                </c:pt>
                <c:pt idx="5">
                  <c:v>Saturday</c:v>
                </c:pt>
                <c:pt idx="6">
                  <c:v>Sunday</c:v>
                </c:pt>
              </c:strCache>
            </c:strRef>
          </c:cat>
          <c:val>
            <c:numRef>
              <c:f>'Operational Insights'!$B$50:$B$56</c:f>
              <c:numCache>
                <c:formatCode>0.00</c:formatCode>
                <c:ptCount val="7"/>
                <c:pt idx="0">
                  <c:v>13.6656575757576</c:v>
                </c:pt>
                <c:pt idx="1">
                  <c:v>12.9919028571429</c:v>
                </c:pt>
                <c:pt idx="2">
                  <c:v>9.70500333333333</c:v>
                </c:pt>
                <c:pt idx="3">
                  <c:v>10.4817258064516</c:v>
                </c:pt>
                <c:pt idx="4">
                  <c:v>10.6111142857143</c:v>
                </c:pt>
                <c:pt idx="5">
                  <c:v>9.81322068965517</c:v>
                </c:pt>
                <c:pt idx="6">
                  <c:v>10.4527766666667</c:v>
                </c:pt>
              </c:numCache>
            </c:numRef>
          </c:val>
        </c:ser>
        <c:ser>
          <c:idx val="1"/>
          <c:order val="1"/>
          <c:tx>
            <c:strRef>
              <c:f>'Operational Insights'!C49</c:f>
              <c:strCache>
                <c:ptCount val="1"/>
                <c:pt idx="0">
                  <c:v>THLCH Avg Wait (Hrs)</c:v>
                </c:pt>
              </c:strCache>
            </c:strRef>
          </c:tx>
          <c:spPr>
            <a:solidFill>
              <a:srgbClr val="d09493"/>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'Operational Insights'!$A$50:$A$56</c:f>
              <c:strCache>
                <c:ptCount val="7"/>
                <c:pt idx="0">
                  <c:v>Monday</c:v>
                </c:pt>
                <c:pt idx="1">
                  <c:v>Tuesday</c:v>
                </c:pt>
                <c:pt idx="2">
                  <c:v>Wednesday</c:v>
                </c:pt>
                <c:pt idx="3">
                  <c:v>Thursday</c:v>
                </c:pt>
                <c:pt idx="4">
                  <c:v>Friday</c:v>
                </c:pt>
                <c:pt idx="5">
                  <c:v>Saturday</c:v>
                </c:pt>
                <c:pt idx="6">
                  <c:v>Sunday</c:v>
                </c:pt>
              </c:strCache>
            </c:strRef>
          </c:cat>
          <c:val>
            <c:numRef>
              <c:f>'Operational Insights'!$C$50:$C$56</c:f>
              <c:numCache>
                <c:formatCode>0.00</c:formatCode>
                <c:ptCount val="7"/>
                <c:pt idx="0">
                  <c:v>3.76161818181818</c:v>
                </c:pt>
                <c:pt idx="1">
                  <c:v>3.62903225806452</c:v>
                </c:pt>
                <c:pt idx="2">
                  <c:v>4.43455487804878</c:v>
                </c:pt>
                <c:pt idx="3">
                  <c:v>4.09889333333333</c:v>
                </c:pt>
                <c:pt idx="4">
                  <c:v>4.67285857142857</c:v>
                </c:pt>
                <c:pt idx="5">
                  <c:v>3.82547169811321</c:v>
                </c:pt>
                <c:pt idx="6">
                  <c:v>3.20547313432836</c:v>
                </c:pt>
              </c:numCache>
            </c:numRef>
          </c:val>
        </c:ser>
        <c:gapWidth val="150"/>
        <c:overlap val="0"/>
        <c:axId val="98094758"/>
        <c:axId val="58805729"/>
      </c:barChart>
      <c:catAx>
        <c:axId val="980947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805729"/>
        <c:crosses val="autoZero"/>
        <c:auto val="1"/>
        <c:lblAlgn val="ctr"/>
        <c:lblOffset val="100"/>
        <c:noMultiLvlLbl val="0"/>
      </c:catAx>
      <c:valAx>
        <c:axId val="5880572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Wait (Hrs)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0947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_rels/drawing6.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160920</xdr:rowOff>
    </xdr:from>
    <xdr:to>
      <xdr:col>15</xdr:col>
      <xdr:colOff>525600</xdr:colOff>
      <xdr:row>17</xdr:row>
      <xdr:rowOff>182880</xdr:rowOff>
    </xdr:to>
    <xdr:graphicFrame>
      <xdr:nvGraphicFramePr>
        <xdr:cNvPr id="0" name="Chart 1"/>
        <xdr:cNvGraphicFramePr/>
      </xdr:nvGraphicFramePr>
      <xdr:xfrm>
        <a:off x="13204800" y="57168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20</xdr:row>
      <xdr:rowOff>160920</xdr:rowOff>
    </xdr:from>
    <xdr:to>
      <xdr:col>17</xdr:col>
      <xdr:colOff>447840</xdr:colOff>
      <xdr:row>37</xdr:row>
      <xdr:rowOff>162000</xdr:rowOff>
    </xdr:to>
    <xdr:graphicFrame>
      <xdr:nvGraphicFramePr>
        <xdr:cNvPr id="1" name="Chart 2"/>
        <xdr:cNvGraphicFramePr/>
      </xdr:nvGraphicFramePr>
      <xdr:xfrm>
        <a:off x="13204800" y="400068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160560</xdr:rowOff>
    </xdr:from>
    <xdr:to>
      <xdr:col>14</xdr:col>
      <xdr:colOff>448200</xdr:colOff>
      <xdr:row>18</xdr:row>
      <xdr:rowOff>161640</xdr:rowOff>
    </xdr:to>
    <xdr:graphicFrame>
      <xdr:nvGraphicFramePr>
        <xdr:cNvPr id="2" name="Chart 1"/>
        <xdr:cNvGraphicFramePr/>
      </xdr:nvGraphicFramePr>
      <xdr:xfrm>
        <a:off x="9293400" y="380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160560</xdr:rowOff>
    </xdr:from>
    <xdr:to>
      <xdr:col>14</xdr:col>
      <xdr:colOff>447840</xdr:colOff>
      <xdr:row>18</xdr:row>
      <xdr:rowOff>161640</xdr:rowOff>
    </xdr:to>
    <xdr:graphicFrame>
      <xdr:nvGraphicFramePr>
        <xdr:cNvPr id="3" name="Chart 1"/>
        <xdr:cNvGraphicFramePr/>
      </xdr:nvGraphicFramePr>
      <xdr:xfrm>
        <a:off x="9826560" y="380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160560</xdr:rowOff>
    </xdr:from>
    <xdr:to>
      <xdr:col>15</xdr:col>
      <xdr:colOff>370440</xdr:colOff>
      <xdr:row>20</xdr:row>
      <xdr:rowOff>140760</xdr:rowOff>
    </xdr:to>
    <xdr:graphicFrame>
      <xdr:nvGraphicFramePr>
        <xdr:cNvPr id="4" name="Chart 1"/>
        <xdr:cNvGraphicFramePr/>
      </xdr:nvGraphicFramePr>
      <xdr:xfrm>
        <a:off x="8759880" y="380880"/>
        <a:ext cx="719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xdr:row>
      <xdr:rowOff>160560</xdr:rowOff>
    </xdr:from>
    <xdr:to>
      <xdr:col>6</xdr:col>
      <xdr:colOff>78840</xdr:colOff>
      <xdr:row>25</xdr:row>
      <xdr:rowOff>140760</xdr:rowOff>
    </xdr:to>
    <xdr:graphicFrame>
      <xdr:nvGraphicFramePr>
        <xdr:cNvPr id="5" name="Chart 1"/>
        <xdr:cNvGraphicFramePr/>
      </xdr:nvGraphicFramePr>
      <xdr:xfrm>
        <a:off x="0" y="133344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xdr:row>
      <xdr:rowOff>160920</xdr:rowOff>
    </xdr:from>
    <xdr:to>
      <xdr:col>14</xdr:col>
      <xdr:colOff>48960</xdr:colOff>
      <xdr:row>21</xdr:row>
      <xdr:rowOff>162000</xdr:rowOff>
    </xdr:to>
    <xdr:graphicFrame>
      <xdr:nvGraphicFramePr>
        <xdr:cNvPr id="6" name="Chart 1"/>
        <xdr:cNvGraphicFramePr/>
      </xdr:nvGraphicFramePr>
      <xdr:xfrm>
        <a:off x="9067680" y="111456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34</xdr:row>
      <xdr:rowOff>160560</xdr:rowOff>
    </xdr:from>
    <xdr:to>
      <xdr:col>14</xdr:col>
      <xdr:colOff>87840</xdr:colOff>
      <xdr:row>47</xdr:row>
      <xdr:rowOff>91080</xdr:rowOff>
    </xdr:to>
    <xdr:graphicFrame>
      <xdr:nvGraphicFramePr>
        <xdr:cNvPr id="7" name="Chart 2"/>
        <xdr:cNvGraphicFramePr/>
      </xdr:nvGraphicFramePr>
      <xdr:xfrm>
        <a:off x="9826560" y="6991200"/>
        <a:ext cx="539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47</xdr:row>
      <xdr:rowOff>48240</xdr:rowOff>
    </xdr:from>
    <xdr:to>
      <xdr:col>14</xdr:col>
      <xdr:colOff>87840</xdr:colOff>
      <xdr:row>62</xdr:row>
      <xdr:rowOff>70560</xdr:rowOff>
    </xdr:to>
    <xdr:graphicFrame>
      <xdr:nvGraphicFramePr>
        <xdr:cNvPr id="8" name="Chart 3"/>
        <xdr:cNvGraphicFramePr/>
      </xdr:nvGraphicFramePr>
      <xdr:xfrm>
        <a:off x="9826560" y="9468000"/>
        <a:ext cx="53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9" min="2" style="0" width="16"/>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c r="F5" s="4" t="s">
        <v>8</v>
      </c>
      <c r="G5" s="4" t="s">
        <v>9</v>
      </c>
      <c r="H5" s="4" t="s">
        <v>10</v>
      </c>
      <c r="I5" s="4" t="s">
        <v>11</v>
      </c>
    </row>
    <row r="6" customFormat="false" ht="15" hidden="false" customHeight="false" outlineLevel="0" collapsed="false">
      <c r="A6" s="5" t="s">
        <v>12</v>
      </c>
      <c r="B6" s="5" t="n">
        <f aca="false">COUNTIF('Raw Data'!$J$2:$J$670,$A6)</f>
        <v>209</v>
      </c>
      <c r="C6" s="6" t="n">
        <f aca="false">AVERAGEIF('Raw Data'!$J$2:$J$670,$A6,'Raw Data'!$S$2:$S$670)</f>
        <v>11.2094114832536</v>
      </c>
      <c r="D6" s="6" t="n">
        <f aca="false" t="array" ref="D6:D6">MEDIAN(IF('Raw Data'!$J$2:$J$670=$A6,'Raw Data'!$S$2:$S$670))</f>
        <v>8.5</v>
      </c>
      <c r="E6" s="6" t="n">
        <f aca="false">_xlfn.MINIFS('Raw Data'!$S$2:$S$670,'Raw Data'!$J$2:$J$670,$A6)</f>
        <v>0.0167</v>
      </c>
      <c r="F6" s="6" t="n">
        <f aca="false">_xlfn.MAXIFS('Raw Data'!$S$2:$S$670,'Raw Data'!$J$2:$J$670,$A6)</f>
        <v>58</v>
      </c>
      <c r="G6" s="7" t="n">
        <f aca="false">SUMIF('Raw Data'!$J$2:$J$670,$A6,'Raw Data'!$S$2:$S$670)</f>
        <v>2342.767</v>
      </c>
      <c r="H6" s="6" t="n">
        <f aca="false" t="array" ref="H6:H6">STDEV(IF('Raw Data'!$J$2:$J$670=$A6,'Raw Data'!$S$2:$S$670))</f>
        <v>11.4201773777887</v>
      </c>
      <c r="I6" s="6" t="n">
        <f aca="false" t="array" ref="I6:I6">PERCENTILE(IF('Raw Data'!$J$2:$J$670=$A6,'Raw Data'!$S$2:$S$670),0.9)</f>
        <v>24.6800000000001</v>
      </c>
    </row>
    <row r="7" customFormat="false" ht="15" hidden="false" customHeight="false" outlineLevel="0" collapsed="false">
      <c r="A7" s="8" t="s">
        <v>13</v>
      </c>
      <c r="B7" s="8" t="n">
        <f aca="false">COUNTIF('Raw Data'!$J$2:$J$670,$A7)</f>
        <v>460</v>
      </c>
      <c r="C7" s="9" t="n">
        <f aca="false">AVERAGEIF('Raw Data'!$J$2:$J$670,$A7,'Raw Data'!$S$2:$S$670)</f>
        <v>3.97271891304348</v>
      </c>
      <c r="D7" s="9" t="n">
        <f aca="false" t="array" ref="D7:D7">MEDIAN(IF('Raw Data'!$J$2:$J$670=$A7,'Raw Data'!$S$2:$S$670))</f>
        <v>1</v>
      </c>
      <c r="E7" s="9" t="n">
        <f aca="false">_xlfn.MINIFS('Raw Data'!$S$2:$S$670,'Raw Data'!$J$2:$J$670,$A7)</f>
        <v>0</v>
      </c>
      <c r="F7" s="9" t="n">
        <f aca="false">_xlfn.MAXIFS('Raw Data'!$S$2:$S$670,'Raw Data'!$J$2:$J$670,$A7)</f>
        <v>72</v>
      </c>
      <c r="G7" s="10" t="n">
        <f aca="false">SUMIF('Raw Data'!$J$2:$J$670,$A7,'Raw Data'!$S$2:$S$670)</f>
        <v>1827.4507</v>
      </c>
      <c r="H7" s="9" t="n">
        <f aca="false" t="array" ref="H7:H7">STDEV(IF('Raw Data'!$J$2:$J$670=$A7,'Raw Data'!$S$2:$S$670))</f>
        <v>7.17995044910496</v>
      </c>
      <c r="I7" s="9" t="n">
        <f aca="false" t="array" ref="I7:I7">PERCENTILE(IF('Raw Data'!$J$2:$J$670=$A7,'Raw Data'!$S$2:$S$670),0.9)</f>
        <v>10.82</v>
      </c>
    </row>
    <row r="9" customFormat="false" ht="15" hidden="false" customHeight="false" outlineLevel="0" collapsed="false">
      <c r="A9" s="11" t="s">
        <v>14</v>
      </c>
    </row>
    <row r="11" customFormat="false" ht="15" hidden="false" customHeight="false" outlineLevel="0" collapsed="false">
      <c r="A11" s="3" t="s">
        <v>15</v>
      </c>
    </row>
    <row r="12" customFormat="false" ht="15" hidden="false" customHeight="false" outlineLevel="0" collapsed="false">
      <c r="A12" s="4" t="s">
        <v>3</v>
      </c>
      <c r="B12" s="4" t="s">
        <v>16</v>
      </c>
      <c r="C12" s="4" t="s">
        <v>4</v>
      </c>
      <c r="D12" s="4" t="s">
        <v>5</v>
      </c>
      <c r="E12" s="4" t="s">
        <v>8</v>
      </c>
    </row>
    <row r="13" customFormat="false" ht="15" hidden="false" customHeight="false" outlineLevel="0" collapsed="false">
      <c r="A13" s="5" t="s">
        <v>12</v>
      </c>
      <c r="B13" s="5" t="s">
        <v>17</v>
      </c>
      <c r="C13" s="5" t="n">
        <f aca="false">COUNTIFS('Raw Data'!$J$2:$J$670,$A13,'Raw Data'!$I$2:$I$670,$B13)</f>
        <v>91</v>
      </c>
      <c r="D13" s="6" t="n">
        <f aca="false">_xlfn.IFS(C13=0,0,C13&gt;0,AVERAGEIFS('Raw Data'!$S$2:$S$670,'Raw Data'!$J$2:$J$670,$A13,'Raw Data'!$I$2:$I$670,$B13))</f>
        <v>15.0556758241758</v>
      </c>
      <c r="E13" s="6" t="n">
        <f aca="false">_xlfn.MAXIFS('Raw Data'!$S$2:$S$670,'Raw Data'!$J$2:$J$670,$A13,'Raw Data'!$I$2:$I$670,$B13)</f>
        <v>58</v>
      </c>
    </row>
    <row r="14" customFormat="false" ht="15" hidden="false" customHeight="false" outlineLevel="0" collapsed="false">
      <c r="A14" s="5" t="s">
        <v>12</v>
      </c>
      <c r="B14" s="5" t="s">
        <v>18</v>
      </c>
      <c r="C14" s="5" t="n">
        <f aca="false">COUNTIFS('Raw Data'!$J$2:$J$670,$A14,'Raw Data'!$I$2:$I$670,$B14)</f>
        <v>64</v>
      </c>
      <c r="D14" s="6" t="n">
        <f aca="false">_xlfn.IFS(C14=0,0,C14&gt;0,AVERAGEIFS('Raw Data'!$S$2:$S$670,'Raw Data'!$J$2:$J$670,$A14,'Raw Data'!$I$2:$I$670,$B14))</f>
        <v>4.0906328125</v>
      </c>
      <c r="E14" s="6" t="n">
        <f aca="false">_xlfn.MAXIFS('Raw Data'!$S$2:$S$670,'Raw Data'!$J$2:$J$670,$A14,'Raw Data'!$I$2:$I$670,$B14)</f>
        <v>20.5</v>
      </c>
    </row>
    <row r="15" customFormat="false" ht="15" hidden="false" customHeight="false" outlineLevel="0" collapsed="false">
      <c r="A15" s="5" t="s">
        <v>12</v>
      </c>
      <c r="B15" s="5" t="s">
        <v>19</v>
      </c>
      <c r="C15" s="5" t="n">
        <f aca="false">COUNTIFS('Raw Data'!$J$2:$J$670,$A15,'Raw Data'!$I$2:$I$670,$B15)</f>
        <v>54</v>
      </c>
      <c r="D15" s="6" t="n">
        <f aca="false">_xlfn.IFS(C15=0,0,C15&gt;0,AVERAGEIFS('Raw Data'!$S$2:$S$670,'Raw Data'!$J$2:$J$670,$A15,'Raw Data'!$I$2:$I$670,$B15))</f>
        <v>13.1648148148148</v>
      </c>
      <c r="E15" s="6" t="n">
        <f aca="false">_xlfn.MAXIFS('Raw Data'!$S$2:$S$670,'Raw Data'!$J$2:$J$670,$A15,'Raw Data'!$I$2:$I$670,$B15)</f>
        <v>45</v>
      </c>
    </row>
    <row r="16" customFormat="false" ht="15" hidden="false" customHeight="false" outlineLevel="0" collapsed="false">
      <c r="A16" s="8" t="s">
        <v>13</v>
      </c>
      <c r="B16" s="8" t="s">
        <v>20</v>
      </c>
      <c r="C16" s="8" t="n">
        <f aca="false">COUNTIFS('Raw Data'!$J$2:$J$670,$A16,'Raw Data'!$I$2:$I$670,$B16)</f>
        <v>76</v>
      </c>
      <c r="D16" s="9" t="n">
        <f aca="false">_xlfn.IFS(C16=0,0,C16&gt;0,AVERAGEIFS('Raw Data'!$S$2:$S$670,'Raw Data'!$J$2:$J$670,$A16,'Raw Data'!$I$2:$I$670,$B16))</f>
        <v>4.52916710526316</v>
      </c>
      <c r="E16" s="9" t="n">
        <f aca="false">_xlfn.MAXIFS('Raw Data'!$S$2:$S$670,'Raw Data'!$J$2:$J$670,$A16,'Raw Data'!$I$2:$I$670,$B16)</f>
        <v>40</v>
      </c>
    </row>
    <row r="17" customFormat="false" ht="15" hidden="false" customHeight="false" outlineLevel="0" collapsed="false">
      <c r="A17" s="8" t="s">
        <v>13</v>
      </c>
      <c r="B17" s="8" t="s">
        <v>21</v>
      </c>
      <c r="C17" s="8" t="n">
        <f aca="false">COUNTIFS('Raw Data'!$J$2:$J$670,$A17,'Raw Data'!$I$2:$I$670,$B17)</f>
        <v>22</v>
      </c>
      <c r="D17" s="9" t="n">
        <f aca="false">_xlfn.IFS(C17=0,0,C17&gt;0,AVERAGEIFS('Raw Data'!$S$2:$S$670,'Raw Data'!$J$2:$J$670,$A17,'Raw Data'!$I$2:$I$670,$B17))</f>
        <v>2.19015909090909</v>
      </c>
      <c r="E17" s="9" t="n">
        <f aca="false">_xlfn.MAXIFS('Raw Data'!$S$2:$S$670,'Raw Data'!$J$2:$J$670,$A17,'Raw Data'!$I$2:$I$670,$B17)</f>
        <v>25</v>
      </c>
    </row>
    <row r="18" customFormat="false" ht="15" hidden="false" customHeight="false" outlineLevel="0" collapsed="false">
      <c r="A18" s="8" t="s">
        <v>13</v>
      </c>
      <c r="B18" s="8" t="s">
        <v>22</v>
      </c>
      <c r="C18" s="8" t="n">
        <f aca="false">COUNTIFS('Raw Data'!$J$2:$J$670,$A18,'Raw Data'!$I$2:$I$670,$B18)</f>
        <v>5</v>
      </c>
      <c r="D18" s="9" t="n">
        <f aca="false">_xlfn.IFS(C18=0,0,C18&gt;0,AVERAGEIFS('Raw Data'!$S$2:$S$670,'Raw Data'!$J$2:$J$670,$A18,'Raw Data'!$I$2:$I$670,$B18))</f>
        <v>3.5</v>
      </c>
      <c r="E18" s="9" t="n">
        <f aca="false">_xlfn.MAXIFS('Raw Data'!$S$2:$S$670,'Raw Data'!$J$2:$J$670,$A18,'Raw Data'!$I$2:$I$670,$B18)</f>
        <v>13.5</v>
      </c>
    </row>
    <row r="19" customFormat="false" ht="15" hidden="false" customHeight="false" outlineLevel="0" collapsed="false">
      <c r="A19" s="8" t="s">
        <v>13</v>
      </c>
      <c r="B19" s="8" t="s">
        <v>23</v>
      </c>
      <c r="C19" s="8" t="n">
        <f aca="false">COUNTIFS('Raw Data'!$J$2:$J$670,$A19,'Raw Data'!$I$2:$I$670,$B19)</f>
        <v>239</v>
      </c>
      <c r="D19" s="9" t="n">
        <f aca="false">_xlfn.IFS(C19=0,0,C19&gt;0,AVERAGEIFS('Raw Data'!$S$2:$S$670,'Raw Data'!$J$2:$J$670,$A19,'Raw Data'!$I$2:$I$670,$B19))</f>
        <v>3.98626192468619</v>
      </c>
      <c r="E19" s="9" t="n">
        <f aca="false">_xlfn.MAXIFS('Raw Data'!$S$2:$S$670,'Raw Data'!$J$2:$J$670,$A19,'Raw Data'!$I$2:$I$670,$B19)</f>
        <v>27</v>
      </c>
    </row>
    <row r="20" customFormat="false" ht="15" hidden="false" customHeight="false" outlineLevel="0" collapsed="false">
      <c r="A20" s="8" t="s">
        <v>13</v>
      </c>
      <c r="B20" s="8" t="s">
        <v>24</v>
      </c>
      <c r="C20" s="8" t="n">
        <f aca="false">COUNTIFS('Raw Data'!$J$2:$J$670,$A20,'Raw Data'!$I$2:$I$670,$B20)</f>
        <v>83</v>
      </c>
      <c r="D20" s="9" t="n">
        <f aca="false">_xlfn.IFS(C20=0,0,C20&gt;0,AVERAGEIFS('Raw Data'!$S$2:$S$670,'Raw Data'!$J$2:$J$670,$A20,'Raw Data'!$I$2:$I$670,$B20))</f>
        <v>4.70643253012048</v>
      </c>
      <c r="E20" s="9" t="n">
        <f aca="false">_xlfn.MAXIFS('Raw Data'!$S$2:$S$670,'Raw Data'!$J$2:$J$670,$A20,'Raw Data'!$I$2:$I$670,$B20)</f>
        <v>72</v>
      </c>
    </row>
    <row r="21" customFormat="false" ht="15" hidden="false" customHeight="false" outlineLevel="0" collapsed="false">
      <c r="A21" s="8" t="s">
        <v>13</v>
      </c>
      <c r="B21" s="8" t="s">
        <v>25</v>
      </c>
      <c r="C21" s="8" t="n">
        <f aca="false">COUNTIFS('Raw Data'!$J$2:$J$670,$A21,'Raw Data'!$I$2:$I$670,$B21)</f>
        <v>4</v>
      </c>
      <c r="D21" s="9" t="n">
        <f aca="false">_xlfn.IFS(C21=0,0,C21&gt;0,AVERAGEIFS('Raw Data'!$S$2:$S$670,'Raw Data'!$J$2:$J$670,$A21,'Raw Data'!$I$2:$I$670,$B21))</f>
        <v>0.9</v>
      </c>
      <c r="E21" s="9" t="n">
        <f aca="false">_xlfn.MAXIFS('Raw Data'!$S$2:$S$670,'Raw Data'!$J$2:$J$670,$A21,'Raw Data'!$I$2:$I$670,$B21)</f>
        <v>1</v>
      </c>
    </row>
    <row r="22" customFormat="false" ht="15" hidden="false" customHeight="false" outlineLevel="0" collapsed="false">
      <c r="A22" s="8" t="s">
        <v>13</v>
      </c>
      <c r="B22" s="8" t="s">
        <v>26</v>
      </c>
      <c r="C22" s="8" t="n">
        <f aca="false">COUNTIFS('Raw Data'!$J$2:$J$670,$A22,'Raw Data'!$I$2:$I$670,$B22)</f>
        <v>11</v>
      </c>
      <c r="D22" s="9" t="n">
        <f aca="false">_xlfn.IFS(C22=0,0,C22&gt;0,AVERAGEIFS('Raw Data'!$S$2:$S$670,'Raw Data'!$J$2:$J$670,$A22,'Raw Data'!$I$2:$I$670,$B22))</f>
        <v>1.23636363636364</v>
      </c>
      <c r="E22" s="9" t="n">
        <f aca="false">_xlfn.MAXIFS('Raw Data'!$S$2:$S$670,'Raw Data'!$J$2:$J$670,$A22,'Raw Data'!$I$2:$I$670,$B22)</f>
        <v>3</v>
      </c>
    </row>
    <row r="23" customFormat="false" ht="15" hidden="false" customHeight="false" outlineLevel="0" collapsed="false">
      <c r="A23" s="8" t="s">
        <v>13</v>
      </c>
      <c r="B23" s="8" t="s">
        <v>27</v>
      </c>
      <c r="C23" s="8" t="n">
        <f aca="false">COUNTIFS('Raw Data'!$J$2:$J$670,$A23,'Raw Data'!$I$2:$I$670,$B23)</f>
        <v>3</v>
      </c>
      <c r="D23" s="9" t="n">
        <f aca="false">_xlfn.IFS(C23=0,0,C23&gt;0,AVERAGEIFS('Raw Data'!$S$2:$S$670,'Raw Data'!$J$2:$J$670,$A23,'Raw Data'!$I$2:$I$670,$B23))</f>
        <v>9</v>
      </c>
      <c r="E23" s="9" t="n">
        <f aca="false">_xlfn.MAXIFS('Raw Data'!$S$2:$S$670,'Raw Data'!$J$2:$J$670,$A23,'Raw Data'!$I$2:$I$670,$B23)</f>
        <v>25</v>
      </c>
    </row>
    <row r="24" customFormat="false" ht="15" hidden="false" customHeight="false" outlineLevel="0" collapsed="false">
      <c r="A24" s="8" t="s">
        <v>13</v>
      </c>
      <c r="B24" s="8" t="s">
        <v>28</v>
      </c>
      <c r="C24" s="8" t="n">
        <f aca="false">COUNTIFS('Raw Data'!$J$2:$J$670,$A24,'Raw Data'!$I$2:$I$670,$B24)</f>
        <v>17</v>
      </c>
      <c r="D24" s="9" t="n">
        <f aca="false">_xlfn.IFS(C24=0,0,C24&gt;0,AVERAGEIFS('Raw Data'!$S$2:$S$670,'Raw Data'!$J$2:$J$670,$A24,'Raw Data'!$I$2:$I$670,$B24))</f>
        <v>1.76470588235294</v>
      </c>
      <c r="E24" s="9" t="n">
        <f aca="false">_xlfn.MAXIFS('Raw Data'!$S$2:$S$670,'Raw Data'!$J$2:$J$670,$A24,'Raw Data'!$I$2:$I$670,$B24)</f>
        <v>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6" min="1" style="0" width="16"/>
  </cols>
  <sheetData>
    <row r="1" customFormat="false" ht="17.35" hidden="false" customHeight="false" outlineLevel="0" collapsed="false">
      <c r="A1" s="1" t="s">
        <v>29</v>
      </c>
      <c r="B1" s="1"/>
      <c r="C1" s="1"/>
      <c r="D1" s="1"/>
      <c r="E1" s="1"/>
      <c r="F1" s="1"/>
    </row>
    <row r="3" customFormat="false" ht="15" hidden="false" customHeight="false" outlineLevel="0" collapsed="false">
      <c r="A3" s="4" t="s">
        <v>30</v>
      </c>
      <c r="B3" s="4" t="s">
        <v>4</v>
      </c>
      <c r="C3" s="4" t="s">
        <v>5</v>
      </c>
      <c r="D3" s="4" t="s">
        <v>6</v>
      </c>
      <c r="E3" s="4" t="s">
        <v>7</v>
      </c>
      <c r="F3" s="4" t="s">
        <v>8</v>
      </c>
    </row>
    <row r="4" customFormat="false" ht="15" hidden="false" customHeight="false" outlineLevel="0" collapsed="false">
      <c r="A4" s="12" t="s">
        <v>31</v>
      </c>
      <c r="B4" s="12" t="n">
        <f aca="false">COUNTIF('Raw Data'!$A$2:$A$670,$A4)</f>
        <v>100</v>
      </c>
      <c r="C4" s="13" t="n">
        <f aca="false">AVERAGEIF('Raw Data'!$A$2:$A$670,$A4,'Raw Data'!$S$2:$S$670)</f>
        <v>3.547177</v>
      </c>
      <c r="D4" s="13" t="n">
        <f aca="false" t="array" ref="D4:D4">MEDIAN(IF('Raw Data'!$A$2:$A$670=$A4,'Raw Data'!$S$2:$S$670))</f>
        <v>1</v>
      </c>
      <c r="E4" s="13" t="n">
        <f aca="false">_xlfn.MINIFS('Raw Data'!$S$2:$S$670,'Raw Data'!$A$2:$A$670,$A4)</f>
        <v>0.0167</v>
      </c>
      <c r="F4" s="13" t="n">
        <f aca="false">_xlfn.MAXIFS('Raw Data'!$S$2:$S$670,'Raw Data'!$A$2:$A$670,$A4)</f>
        <v>72</v>
      </c>
    </row>
    <row r="5" customFormat="false" ht="15" hidden="false" customHeight="false" outlineLevel="0" collapsed="false">
      <c r="A5" s="12" t="s">
        <v>32</v>
      </c>
      <c r="B5" s="12" t="n">
        <f aca="false">COUNTIF('Raw Data'!$A$2:$A$670,$A5)</f>
        <v>94</v>
      </c>
      <c r="C5" s="13" t="n">
        <f aca="false">AVERAGEIF('Raw Data'!$A$2:$A$670,$A5,'Raw Data'!$S$2:$S$670)</f>
        <v>6.19911170212766</v>
      </c>
      <c r="D5" s="13" t="n">
        <f aca="false" t="array" ref="D5:D5">MEDIAN(IF('Raw Data'!$A$2:$A$670=$A5,'Raw Data'!$S$2:$S$670))</f>
        <v>2.5333</v>
      </c>
      <c r="E5" s="13" t="n">
        <f aca="false">_xlfn.MINIFS('Raw Data'!$S$2:$S$670,'Raw Data'!$A$2:$A$670,$A5)</f>
        <v>0.4333</v>
      </c>
      <c r="F5" s="13" t="n">
        <f aca="false">_xlfn.MAXIFS('Raw Data'!$S$2:$S$670,'Raw Data'!$A$2:$A$670,$A5)</f>
        <v>41.8333</v>
      </c>
    </row>
    <row r="6" customFormat="false" ht="15" hidden="false" customHeight="false" outlineLevel="0" collapsed="false">
      <c r="A6" s="12" t="s">
        <v>33</v>
      </c>
      <c r="B6" s="12" t="n">
        <f aca="false">COUNTIF('Raw Data'!$A$2:$A$670,$A6)</f>
        <v>93</v>
      </c>
      <c r="C6" s="13" t="n">
        <f aca="false">AVERAGEIF('Raw Data'!$A$2:$A$670,$A6,'Raw Data'!$S$2:$S$670)</f>
        <v>3.91971397849462</v>
      </c>
      <c r="D6" s="13" t="n">
        <f aca="false" t="array" ref="D6:D6">MEDIAN(IF('Raw Data'!$A$2:$A$670=$A6,'Raw Data'!$S$2:$S$670))</f>
        <v>2</v>
      </c>
      <c r="E6" s="13" t="n">
        <f aca="false">_xlfn.MINIFS('Raw Data'!$S$2:$S$670,'Raw Data'!$A$2:$A$670,$A6)</f>
        <v>0.0167</v>
      </c>
      <c r="F6" s="13" t="n">
        <f aca="false">_xlfn.MAXIFS('Raw Data'!$S$2:$S$670,'Raw Data'!$A$2:$A$670,$A6)</f>
        <v>20.5</v>
      </c>
    </row>
    <row r="7" customFormat="false" ht="15" hidden="false" customHeight="false" outlineLevel="0" collapsed="false">
      <c r="A7" s="12" t="s">
        <v>34</v>
      </c>
      <c r="B7" s="12" t="n">
        <f aca="false">COUNTIF('Raw Data'!$A$2:$A$670,$A7)</f>
        <v>88</v>
      </c>
      <c r="C7" s="13" t="n">
        <f aca="false">AVERAGEIF('Raw Data'!$A$2:$A$670,$A7,'Raw Data'!$S$2:$S$670)</f>
        <v>9.52026477272727</v>
      </c>
      <c r="D7" s="13" t="n">
        <f aca="false" t="array" ref="D7:D7">MEDIAN(IF('Raw Data'!$A$2:$A$670=$A7,'Raw Data'!$S$2:$S$670))</f>
        <v>3.91665</v>
      </c>
      <c r="E7" s="13" t="n">
        <f aca="false">_xlfn.MINIFS('Raw Data'!$S$2:$S$670,'Raw Data'!$A$2:$A$670,$A7)</f>
        <v>0.5167</v>
      </c>
      <c r="F7" s="13" t="n">
        <f aca="false">_xlfn.MAXIFS('Raw Data'!$S$2:$S$670,'Raw Data'!$A$2:$A$670,$A7)</f>
        <v>58</v>
      </c>
    </row>
    <row r="8" customFormat="false" ht="15" hidden="false" customHeight="false" outlineLevel="0" collapsed="false">
      <c r="A8" s="12" t="s">
        <v>35</v>
      </c>
      <c r="B8" s="12" t="n">
        <f aca="false">COUNTIF('Raw Data'!$A$2:$A$670,$A8)</f>
        <v>86</v>
      </c>
      <c r="C8" s="13" t="n">
        <f aca="false">AVERAGEIF('Raw Data'!$A$2:$A$670,$A8,'Raw Data'!$S$2:$S$670)</f>
        <v>6.69767441860465</v>
      </c>
      <c r="D8" s="13" t="n">
        <f aca="false" t="array" ref="D8:D8">MEDIAN(IF('Raw Data'!$A$2:$A$670=$A8,'Raw Data'!$S$2:$S$670))</f>
        <v>3</v>
      </c>
      <c r="E8" s="13" t="n">
        <f aca="false">_xlfn.MINIFS('Raw Data'!$S$2:$S$670,'Raw Data'!$A$2:$A$670,$A8)</f>
        <v>1</v>
      </c>
      <c r="F8" s="13" t="n">
        <f aca="false">_xlfn.MAXIFS('Raw Data'!$S$2:$S$670,'Raw Data'!$A$2:$A$670,$A8)</f>
        <v>54</v>
      </c>
    </row>
    <row r="9" customFormat="false" ht="15" hidden="false" customHeight="false" outlineLevel="0" collapsed="false">
      <c r="A9" s="12" t="s">
        <v>36</v>
      </c>
      <c r="B9" s="12" t="n">
        <f aca="false">COUNTIF('Raw Data'!$A$2:$A$670,$A9)</f>
        <v>84</v>
      </c>
      <c r="C9" s="13" t="n">
        <f aca="false">AVERAGEIF('Raw Data'!$A$2:$A$670,$A9,'Raw Data'!$S$2:$S$670)</f>
        <v>6.84265833333333</v>
      </c>
      <c r="D9" s="13" t="n">
        <f aca="false" t="array" ref="D9:D9">MEDIAN(IF('Raw Data'!$A$2:$A$670=$A9,'Raw Data'!$S$2:$S$670))</f>
        <v>3</v>
      </c>
      <c r="E9" s="13" t="n">
        <f aca="false">_xlfn.MINIFS('Raw Data'!$S$2:$S$670,'Raw Data'!$A$2:$A$670,$A9)</f>
        <v>0.5</v>
      </c>
      <c r="F9" s="13" t="n">
        <f aca="false">_xlfn.MAXIFS('Raw Data'!$S$2:$S$670,'Raw Data'!$A$2:$A$670,$A9)</f>
        <v>49</v>
      </c>
    </row>
    <row r="10" customFormat="false" ht="15" hidden="false" customHeight="false" outlineLevel="0" collapsed="false">
      <c r="A10" s="12" t="s">
        <v>37</v>
      </c>
      <c r="B10" s="12" t="n">
        <f aca="false">COUNTIF('Raw Data'!$A$2:$A$670,$A10)</f>
        <v>68</v>
      </c>
      <c r="C10" s="13" t="n">
        <f aca="false">AVERAGEIF('Raw Data'!$A$2:$A$670,$A10,'Raw Data'!$S$2:$S$670)</f>
        <v>9.02647058823529</v>
      </c>
      <c r="D10" s="13" t="n">
        <f aca="false" t="array" ref="D10:D10">MEDIAN(IF('Raw Data'!$A$2:$A$670=$A10,'Raw Data'!$S$2:$S$670))</f>
        <v>4.3</v>
      </c>
      <c r="E10" s="13" t="n">
        <f aca="false">_xlfn.MINIFS('Raw Data'!$S$2:$S$670,'Raw Data'!$A$2:$A$670,$A10)</f>
        <v>0</v>
      </c>
      <c r="F10" s="13" t="n">
        <f aca="false">_xlfn.MAXIFS('Raw Data'!$S$2:$S$670,'Raw Data'!$A$2:$A$670,$A10)</f>
        <v>45</v>
      </c>
    </row>
    <row r="11" customFormat="false" ht="15" hidden="false" customHeight="false" outlineLevel="0" collapsed="false">
      <c r="A11" s="12" t="s">
        <v>38</v>
      </c>
      <c r="B11" s="12" t="n">
        <f aca="false">COUNTIF('Raw Data'!$A$2:$A$670,$A11)</f>
        <v>27</v>
      </c>
      <c r="C11" s="13" t="n">
        <f aca="false">AVERAGEIF('Raw Data'!$A$2:$A$670,$A11,'Raw Data'!$S$2:$S$670)</f>
        <v>6.24444444444444</v>
      </c>
      <c r="D11" s="13" t="n">
        <f aca="false" t="array" ref="D11:D11">MEDIAN(IF('Raw Data'!$A$2:$A$670=$A11,'Raw Data'!$S$2:$S$670))</f>
        <v>4.9</v>
      </c>
      <c r="E11" s="13" t="n">
        <f aca="false">_xlfn.MINIFS('Raw Data'!$S$2:$S$670,'Raw Data'!$A$2:$A$670,$A11)</f>
        <v>0.0167</v>
      </c>
      <c r="F11" s="13" t="n">
        <f aca="false">_xlfn.MAXIFS('Raw Data'!$S$2:$S$670,'Raw Data'!$A$2:$A$670,$A11)</f>
        <v>25</v>
      </c>
    </row>
    <row r="12" customFormat="false" ht="15" hidden="false" customHeight="false" outlineLevel="0" collapsed="false">
      <c r="A12" s="12" t="s">
        <v>39</v>
      </c>
      <c r="B12" s="12" t="n">
        <f aca="false">COUNTIF('Raw Data'!$A$2:$A$670,$A12)</f>
        <v>27</v>
      </c>
      <c r="C12" s="13" t="n">
        <f aca="false">AVERAGEIF('Raw Data'!$A$2:$A$670,$A12,'Raw Data'!$S$2:$S$670)</f>
        <v>1.95494444444444</v>
      </c>
      <c r="D12" s="13" t="n">
        <f aca="false" t="array" ref="D12:D12">MEDIAN(IF('Raw Data'!$A$2:$A$670=$A12,'Raw Data'!$S$2:$S$670))</f>
        <v>1</v>
      </c>
      <c r="E12" s="13" t="n">
        <f aca="false">_xlfn.MINIFS('Raw Data'!$S$2:$S$670,'Raw Data'!$A$2:$A$670,$A12)</f>
        <v>0.0167</v>
      </c>
      <c r="F12" s="13" t="n">
        <f aca="false">_xlfn.MAXIFS('Raw Data'!$S$2:$S$670,'Raw Data'!$A$2:$A$670,$A12)</f>
        <v>25</v>
      </c>
    </row>
    <row r="13" customFormat="false" ht="15" hidden="false" customHeight="false" outlineLevel="0" collapsed="false">
      <c r="A13" s="12" t="s">
        <v>40</v>
      </c>
      <c r="B13" s="12" t="n">
        <f aca="false">COUNTIF('Raw Data'!$A$2:$A$670,$A13)</f>
        <v>1</v>
      </c>
      <c r="C13" s="13" t="n">
        <f aca="false">AVERAGEIF('Raw Data'!$A$2:$A$670,$A13,'Raw Data'!$S$2:$S$670)</f>
        <v>19.5</v>
      </c>
      <c r="D13" s="13" t="n">
        <f aca="false" t="array" ref="D13:D13">MEDIAN(IF('Raw Data'!$A$2:$A$670=$A13,'Raw Data'!$S$2:$S$670))</f>
        <v>19.5</v>
      </c>
      <c r="E13" s="13" t="n">
        <f aca="false">_xlfn.MINIFS('Raw Data'!$S$2:$S$670,'Raw Data'!$A$2:$A$670,$A13)</f>
        <v>19.5</v>
      </c>
      <c r="F13" s="13" t="n">
        <f aca="false">_xlfn.MAXIFS('Raw Data'!$S$2:$S$670,'Raw Data'!$A$2:$A$670,$A13)</f>
        <v>19.5</v>
      </c>
    </row>
    <row r="14" customFormat="false" ht="15" hidden="false" customHeight="false" outlineLevel="0" collapsed="false">
      <c r="A14" s="12" t="s">
        <v>41</v>
      </c>
      <c r="B14" s="12" t="n">
        <f aca="false">COUNTIF('Raw Data'!$A$2:$A$670,$A14)</f>
        <v>1</v>
      </c>
      <c r="C14" s="13" t="n">
        <f aca="false">AVERAGEIF('Raw Data'!$A$2:$A$670,$A14,'Raw Data'!$S$2:$S$670)</f>
        <v>25</v>
      </c>
      <c r="D14" s="13" t="n">
        <f aca="false" t="array" ref="D14:D14">MEDIAN(IF('Raw Data'!$A$2:$A$670=$A14,'Raw Data'!$S$2:$S$670))</f>
        <v>25</v>
      </c>
      <c r="E14" s="13" t="n">
        <f aca="false">_xlfn.MINIFS('Raw Data'!$S$2:$S$670,'Raw Data'!$A$2:$A$670,$A14)</f>
        <v>25</v>
      </c>
      <c r="F14" s="13" t="n">
        <f aca="false">_xlfn.MAXIFS('Raw Data'!$S$2:$S$670,'Raw Data'!$A$2:$A$670,$A14)</f>
        <v>25</v>
      </c>
    </row>
    <row r="16" customFormat="false" ht="15" hidden="false" customHeight="false" outlineLevel="0" collapsed="false">
      <c r="A16" s="11" t="s">
        <v>42</v>
      </c>
    </row>
    <row r="18" customFormat="false" ht="15" hidden="false" customHeight="false" outlineLevel="0" collapsed="false">
      <c r="A18" s="3" t="s">
        <v>43</v>
      </c>
    </row>
    <row r="19" customFormat="false" ht="15" hidden="false" customHeight="false" outlineLevel="0" collapsed="false">
      <c r="A19" s="4" t="s">
        <v>30</v>
      </c>
      <c r="B19" s="4" t="s">
        <v>3</v>
      </c>
      <c r="C19" s="4" t="s">
        <v>4</v>
      </c>
      <c r="D19" s="4" t="s">
        <v>5</v>
      </c>
      <c r="E19" s="4" t="s">
        <v>8</v>
      </c>
    </row>
    <row r="20" customFormat="false" ht="15" hidden="false" customHeight="false" outlineLevel="0" collapsed="false">
      <c r="A20" s="8" t="s">
        <v>41</v>
      </c>
      <c r="B20" s="8" t="s">
        <v>13</v>
      </c>
      <c r="C20" s="8" t="n">
        <f aca="false">COUNTIFS('Raw Data'!$A$2:$A$670,$A20,'Raw Data'!$J$2:$J$670,$B20)</f>
        <v>1</v>
      </c>
      <c r="D20" s="9" t="n">
        <f aca="false">_xlfn.IFS(C20=0,0,C20&gt;0,AVERAGEIFS('Raw Data'!$S$2:$S$670,'Raw Data'!$A$2:$A$670,$A20,'Raw Data'!$J$2:$J$670,$B20))</f>
        <v>25</v>
      </c>
      <c r="E20" s="9" t="n">
        <f aca="false">_xlfn.MAXIFS('Raw Data'!$S$2:$S$670,'Raw Data'!$A$2:$A$670,$A20,'Raw Data'!$J$2:$J$670,$B20)</f>
        <v>25</v>
      </c>
    </row>
    <row r="21" customFormat="false" ht="15" hidden="false" customHeight="false" outlineLevel="0" collapsed="false">
      <c r="A21" s="8" t="s">
        <v>38</v>
      </c>
      <c r="B21" s="8" t="s">
        <v>13</v>
      </c>
      <c r="C21" s="8" t="n">
        <f aca="false">COUNTIFS('Raw Data'!$A$2:$A$670,$A21,'Raw Data'!$J$2:$J$670,$B21)</f>
        <v>27</v>
      </c>
      <c r="D21" s="9" t="n">
        <f aca="false">_xlfn.IFS(C21=0,0,C21&gt;0,AVERAGEIFS('Raw Data'!$S$2:$S$670,'Raw Data'!$A$2:$A$670,$A21,'Raw Data'!$J$2:$J$670,$B21))</f>
        <v>6.24444444444444</v>
      </c>
      <c r="E21" s="9" t="n">
        <f aca="false">_xlfn.MAXIFS('Raw Data'!$S$2:$S$670,'Raw Data'!$A$2:$A$670,$A21,'Raw Data'!$J$2:$J$670,$B21)</f>
        <v>25</v>
      </c>
    </row>
    <row r="22" customFormat="false" ht="15" hidden="false" customHeight="false" outlineLevel="0" collapsed="false">
      <c r="A22" s="5" t="s">
        <v>37</v>
      </c>
      <c r="B22" s="5" t="s">
        <v>12</v>
      </c>
      <c r="C22" s="5" t="n">
        <f aca="false">COUNTIFS('Raw Data'!$A$2:$A$670,$A22,'Raw Data'!$J$2:$J$670,$B22)</f>
        <v>23</v>
      </c>
      <c r="D22" s="6" t="n">
        <f aca="false">_xlfn.IFS(C22=0,0,C22&gt;0,AVERAGEIFS('Raw Data'!$S$2:$S$670,'Raw Data'!$A$2:$A$670,$A22,'Raw Data'!$J$2:$J$670,$B22))</f>
        <v>15.2782608695652</v>
      </c>
      <c r="E22" s="6" t="n">
        <f aca="false">_xlfn.MAXIFS('Raw Data'!$S$2:$S$670,'Raw Data'!$A$2:$A$670,$A22,'Raw Data'!$J$2:$J$670,$B22)</f>
        <v>45</v>
      </c>
    </row>
    <row r="23" customFormat="false" ht="15" hidden="false" customHeight="false" outlineLevel="0" collapsed="false">
      <c r="A23" s="8" t="s">
        <v>37</v>
      </c>
      <c r="B23" s="8" t="s">
        <v>13</v>
      </c>
      <c r="C23" s="8" t="n">
        <f aca="false">COUNTIFS('Raw Data'!$A$2:$A$670,$A23,'Raw Data'!$J$2:$J$670,$B23)</f>
        <v>45</v>
      </c>
      <c r="D23" s="9" t="n">
        <f aca="false">_xlfn.IFS(C23=0,0,C23&gt;0,AVERAGEIFS('Raw Data'!$S$2:$S$670,'Raw Data'!$A$2:$A$670,$A23,'Raw Data'!$J$2:$J$670,$B23))</f>
        <v>5.83111111111111</v>
      </c>
      <c r="E23" s="9" t="n">
        <f aca="false">_xlfn.MAXIFS('Raw Data'!$S$2:$S$670,'Raw Data'!$A$2:$A$670,$A23,'Raw Data'!$J$2:$J$670,$B23)</f>
        <v>40</v>
      </c>
    </row>
    <row r="24" customFormat="false" ht="15" hidden="false" customHeight="false" outlineLevel="0" collapsed="false">
      <c r="A24" s="5" t="s">
        <v>35</v>
      </c>
      <c r="B24" s="5" t="s">
        <v>12</v>
      </c>
      <c r="C24" s="5" t="n">
        <f aca="false">COUNTIFS('Raw Data'!$A$2:$A$670,$A24,'Raw Data'!$J$2:$J$670,$B24)</f>
        <v>30</v>
      </c>
      <c r="D24" s="6" t="n">
        <f aca="false">_xlfn.IFS(C24=0,0,C24&gt;0,AVERAGEIFS('Raw Data'!$S$2:$S$670,'Raw Data'!$A$2:$A$670,$A24,'Raw Data'!$J$2:$J$670,$B24))</f>
        <v>11.3333333333333</v>
      </c>
      <c r="E24" s="6" t="n">
        <f aca="false">_xlfn.MAXIFS('Raw Data'!$S$2:$S$670,'Raw Data'!$A$2:$A$670,$A24,'Raw Data'!$J$2:$J$670,$B24)</f>
        <v>36</v>
      </c>
    </row>
    <row r="25" customFormat="false" ht="15" hidden="false" customHeight="false" outlineLevel="0" collapsed="false">
      <c r="A25" s="8" t="s">
        <v>35</v>
      </c>
      <c r="B25" s="8" t="s">
        <v>13</v>
      </c>
      <c r="C25" s="8" t="n">
        <f aca="false">COUNTIFS('Raw Data'!$A$2:$A$670,$A25,'Raw Data'!$J$2:$J$670,$B25)</f>
        <v>56</v>
      </c>
      <c r="D25" s="9" t="n">
        <f aca="false">_xlfn.IFS(C25=0,0,C25&gt;0,AVERAGEIFS('Raw Data'!$S$2:$S$670,'Raw Data'!$A$2:$A$670,$A25,'Raw Data'!$J$2:$J$670,$B25))</f>
        <v>4.21428571428571</v>
      </c>
      <c r="E25" s="9" t="n">
        <f aca="false">_xlfn.MAXIFS('Raw Data'!$S$2:$S$670,'Raw Data'!$A$2:$A$670,$A25,'Raw Data'!$J$2:$J$670,$B25)</f>
        <v>54</v>
      </c>
    </row>
    <row r="26" customFormat="false" ht="15" hidden="false" customHeight="false" outlineLevel="0" collapsed="false">
      <c r="A26" s="5" t="s">
        <v>40</v>
      </c>
      <c r="B26" s="5" t="s">
        <v>12</v>
      </c>
      <c r="C26" s="5" t="n">
        <f aca="false">COUNTIFS('Raw Data'!$A$2:$A$670,$A26,'Raw Data'!$J$2:$J$670,$B26)</f>
        <v>1</v>
      </c>
      <c r="D26" s="6" t="n">
        <f aca="false">_xlfn.IFS(C26=0,0,C26&gt;0,AVERAGEIFS('Raw Data'!$S$2:$S$670,'Raw Data'!$A$2:$A$670,$A26,'Raw Data'!$J$2:$J$670,$B26))</f>
        <v>19.5</v>
      </c>
      <c r="E26" s="6" t="n">
        <f aca="false">_xlfn.MAXIFS('Raw Data'!$S$2:$S$670,'Raw Data'!$A$2:$A$670,$A26,'Raw Data'!$J$2:$J$670,$B26)</f>
        <v>19.5</v>
      </c>
    </row>
    <row r="27" customFormat="false" ht="15" hidden="false" customHeight="false" outlineLevel="0" collapsed="false">
      <c r="A27" s="5" t="s">
        <v>34</v>
      </c>
      <c r="B27" s="5" t="s">
        <v>12</v>
      </c>
      <c r="C27" s="5" t="n">
        <f aca="false">COUNTIFS('Raw Data'!$A$2:$A$670,$A27,'Raw Data'!$J$2:$J$670,$B27)</f>
        <v>30</v>
      </c>
      <c r="D27" s="6" t="n">
        <f aca="false">_xlfn.IFS(C27=0,0,C27&gt;0,AVERAGEIFS('Raw Data'!$S$2:$S$670,'Raw Data'!$A$2:$A$670,$A27,'Raw Data'!$J$2:$J$670,$B27))</f>
        <v>18.3477766666667</v>
      </c>
      <c r="E27" s="6" t="n">
        <f aca="false">_xlfn.MAXIFS('Raw Data'!$S$2:$S$670,'Raw Data'!$A$2:$A$670,$A27,'Raw Data'!$J$2:$J$670,$B27)</f>
        <v>58</v>
      </c>
    </row>
    <row r="28" customFormat="false" ht="15" hidden="false" customHeight="false" outlineLevel="0" collapsed="false">
      <c r="A28" s="8" t="s">
        <v>34</v>
      </c>
      <c r="B28" s="8" t="s">
        <v>13</v>
      </c>
      <c r="C28" s="8" t="n">
        <f aca="false">COUNTIFS('Raw Data'!$A$2:$A$670,$A28,'Raw Data'!$J$2:$J$670,$B28)</f>
        <v>58</v>
      </c>
      <c r="D28" s="9" t="n">
        <f aca="false">_xlfn.IFS(C28=0,0,C28&gt;0,AVERAGEIFS('Raw Data'!$S$2:$S$670,'Raw Data'!$A$2:$A$670,$A28,'Raw Data'!$J$2:$J$670,$B28))</f>
        <v>4.95431034482759</v>
      </c>
      <c r="E28" s="9" t="n">
        <f aca="false">_xlfn.MAXIFS('Raw Data'!$S$2:$S$670,'Raw Data'!$A$2:$A$670,$A28,'Raw Data'!$J$2:$J$670,$B28)</f>
        <v>27</v>
      </c>
    </row>
    <row r="29" customFormat="false" ht="15" hidden="false" customHeight="false" outlineLevel="0" collapsed="false">
      <c r="A29" s="5" t="s">
        <v>31</v>
      </c>
      <c r="B29" s="5" t="s">
        <v>12</v>
      </c>
      <c r="C29" s="5" t="n">
        <f aca="false">COUNTIFS('Raw Data'!$A$2:$A$670,$A29,'Raw Data'!$J$2:$J$670,$B29)</f>
        <v>33</v>
      </c>
      <c r="D29" s="6" t="n">
        <f aca="false">_xlfn.IFS(C29=0,0,C29&gt;0,AVERAGEIFS('Raw Data'!$S$2:$S$670,'Raw Data'!$A$2:$A$670,$A29,'Raw Data'!$J$2:$J$670,$B29))</f>
        <v>3.3116303030303</v>
      </c>
      <c r="E29" s="6" t="n">
        <f aca="false">_xlfn.MAXIFS('Raw Data'!$S$2:$S$670,'Raw Data'!$A$2:$A$670,$A29,'Raw Data'!$J$2:$J$670,$B29)</f>
        <v>18</v>
      </c>
    </row>
    <row r="30" customFormat="false" ht="15" hidden="false" customHeight="false" outlineLevel="0" collapsed="false">
      <c r="A30" s="8" t="s">
        <v>31</v>
      </c>
      <c r="B30" s="8" t="s">
        <v>13</v>
      </c>
      <c r="C30" s="8" t="n">
        <f aca="false">COUNTIFS('Raw Data'!$A$2:$A$670,$A30,'Raw Data'!$J$2:$J$670,$B30)</f>
        <v>67</v>
      </c>
      <c r="D30" s="9" t="n">
        <f aca="false">_xlfn.IFS(C30=0,0,C30&gt;0,AVERAGEIFS('Raw Data'!$S$2:$S$670,'Raw Data'!$A$2:$A$670,$A30,'Raw Data'!$J$2:$J$670,$B30))</f>
        <v>3.66319253731343</v>
      </c>
      <c r="E30" s="9" t="n">
        <f aca="false">_xlfn.MAXIFS('Raw Data'!$S$2:$S$670,'Raw Data'!$A$2:$A$670,$A30,'Raw Data'!$J$2:$J$670,$B30)</f>
        <v>72</v>
      </c>
    </row>
    <row r="31" customFormat="false" ht="15" hidden="false" customHeight="false" outlineLevel="0" collapsed="false">
      <c r="A31" s="5" t="s">
        <v>36</v>
      </c>
      <c r="B31" s="5" t="s">
        <v>12</v>
      </c>
      <c r="C31" s="5" t="n">
        <f aca="false">COUNTIFS('Raw Data'!$A$2:$A$670,$A31,'Raw Data'!$J$2:$J$670,$B31)</f>
        <v>30</v>
      </c>
      <c r="D31" s="6" t="n">
        <f aca="false">_xlfn.IFS(C31=0,0,C31&gt;0,AVERAGEIFS('Raw Data'!$S$2:$S$670,'Raw Data'!$A$2:$A$670,$A31,'Raw Data'!$J$2:$J$670,$B31))</f>
        <v>14.5694433333333</v>
      </c>
      <c r="E31" s="6" t="n">
        <f aca="false">_xlfn.MAXIFS('Raw Data'!$S$2:$S$670,'Raw Data'!$A$2:$A$670,$A31,'Raw Data'!$J$2:$J$670,$B31)</f>
        <v>49</v>
      </c>
    </row>
    <row r="32" customFormat="false" ht="15" hidden="false" customHeight="false" outlineLevel="0" collapsed="false">
      <c r="A32" s="8" t="s">
        <v>36</v>
      </c>
      <c r="B32" s="8" t="s">
        <v>13</v>
      </c>
      <c r="C32" s="8" t="n">
        <f aca="false">COUNTIFS('Raw Data'!$A$2:$A$670,$A32,'Raw Data'!$J$2:$J$670,$B32)</f>
        <v>54</v>
      </c>
      <c r="D32" s="9" t="n">
        <f aca="false">_xlfn.IFS(C32=0,0,C32&gt;0,AVERAGEIFS('Raw Data'!$S$2:$S$670,'Raw Data'!$A$2:$A$670,$A32,'Raw Data'!$J$2:$J$670,$B32))</f>
        <v>2.55</v>
      </c>
      <c r="E32" s="9" t="n">
        <f aca="false">_xlfn.MAXIFS('Raw Data'!$S$2:$S$670,'Raw Data'!$A$2:$A$670,$A32,'Raw Data'!$J$2:$J$670,$B32)</f>
        <v>18</v>
      </c>
    </row>
    <row r="33" customFormat="false" ht="15" hidden="false" customHeight="false" outlineLevel="0" collapsed="false">
      <c r="A33" s="5" t="s">
        <v>33</v>
      </c>
      <c r="B33" s="5" t="s">
        <v>12</v>
      </c>
      <c r="C33" s="5" t="n">
        <f aca="false">COUNTIFS('Raw Data'!$A$2:$A$670,$A33,'Raw Data'!$J$2:$J$670,$B33)</f>
        <v>31</v>
      </c>
      <c r="D33" s="6" t="n">
        <f aca="false">_xlfn.IFS(C33=0,0,C33&gt;0,AVERAGEIFS('Raw Data'!$S$2:$S$670,'Raw Data'!$A$2:$A$670,$A33,'Raw Data'!$J$2:$J$670,$B33))</f>
        <v>4.9198935483871</v>
      </c>
      <c r="E33" s="6" t="n">
        <f aca="false">_xlfn.MAXIFS('Raw Data'!$S$2:$S$670,'Raw Data'!$A$2:$A$670,$A33,'Raw Data'!$J$2:$J$670,$B33)</f>
        <v>20.5</v>
      </c>
    </row>
    <row r="34" customFormat="false" ht="15" hidden="false" customHeight="false" outlineLevel="0" collapsed="false">
      <c r="A34" s="8" t="s">
        <v>33</v>
      </c>
      <c r="B34" s="8" t="s">
        <v>13</v>
      </c>
      <c r="C34" s="8" t="n">
        <f aca="false">COUNTIFS('Raw Data'!$A$2:$A$670,$A34,'Raw Data'!$J$2:$J$670,$B34)</f>
        <v>62</v>
      </c>
      <c r="D34" s="9" t="n">
        <f aca="false">_xlfn.IFS(C34=0,0,C34&gt;0,AVERAGEIFS('Raw Data'!$S$2:$S$670,'Raw Data'!$A$2:$A$670,$A34,'Raw Data'!$J$2:$J$670,$B34))</f>
        <v>3.41962419354839</v>
      </c>
      <c r="E34" s="9" t="n">
        <f aca="false">_xlfn.MAXIFS('Raw Data'!$S$2:$S$670,'Raw Data'!$A$2:$A$670,$A34,'Raw Data'!$J$2:$J$670,$B34)</f>
        <v>18</v>
      </c>
    </row>
    <row r="35" customFormat="false" ht="15" hidden="false" customHeight="false" outlineLevel="0" collapsed="false">
      <c r="A35" s="8" t="s">
        <v>39</v>
      </c>
      <c r="B35" s="8" t="s">
        <v>13</v>
      </c>
      <c r="C35" s="8" t="n">
        <f aca="false">COUNTIFS('Raw Data'!$A$2:$A$670,$A35,'Raw Data'!$J$2:$J$670,$B35)</f>
        <v>27</v>
      </c>
      <c r="D35" s="9" t="n">
        <f aca="false">_xlfn.IFS(C35=0,0,C35&gt;0,AVERAGEIFS('Raw Data'!$S$2:$S$670,'Raw Data'!$A$2:$A$670,$A35,'Raw Data'!$J$2:$J$670,$B35))</f>
        <v>1.95494444444444</v>
      </c>
      <c r="E35" s="9" t="n">
        <f aca="false">_xlfn.MAXIFS('Raw Data'!$S$2:$S$670,'Raw Data'!$A$2:$A$670,$A35,'Raw Data'!$J$2:$J$670,$B35)</f>
        <v>25</v>
      </c>
    </row>
    <row r="36" customFormat="false" ht="15" hidden="false" customHeight="false" outlineLevel="0" collapsed="false">
      <c r="A36" s="5" t="s">
        <v>32</v>
      </c>
      <c r="B36" s="5" t="s">
        <v>12</v>
      </c>
      <c r="C36" s="5" t="n">
        <f aca="false">COUNTIFS('Raw Data'!$A$2:$A$670,$A36,'Raw Data'!$J$2:$J$670,$B36)</f>
        <v>31</v>
      </c>
      <c r="D36" s="6" t="n">
        <f aca="false">_xlfn.IFS(C36=0,0,C36&gt;0,AVERAGEIFS('Raw Data'!$S$2:$S$670,'Raw Data'!$A$2:$A$670,$A36,'Raw Data'!$J$2:$J$670,$B36))</f>
        <v>12.3403193548387</v>
      </c>
      <c r="E36" s="6" t="n">
        <f aca="false">_xlfn.MAXIFS('Raw Data'!$S$2:$S$670,'Raw Data'!$A$2:$A$670,$A36,'Raw Data'!$J$2:$J$670,$B36)</f>
        <v>41.8333</v>
      </c>
    </row>
    <row r="37" customFormat="false" ht="15" hidden="false" customHeight="false" outlineLevel="0" collapsed="false">
      <c r="A37" s="8" t="s">
        <v>32</v>
      </c>
      <c r="B37" s="8" t="s">
        <v>13</v>
      </c>
      <c r="C37" s="8" t="n">
        <f aca="false">COUNTIFS('Raw Data'!$A$2:$A$670,$A37,'Raw Data'!$J$2:$J$670,$B37)</f>
        <v>63</v>
      </c>
      <c r="D37" s="9" t="n">
        <f aca="false">_xlfn.IFS(C37=0,0,C37&gt;0,AVERAGEIFS('Raw Data'!$S$2:$S$670,'Raw Data'!$A$2:$A$670,$A37,'Raw Data'!$J$2:$J$670,$B37))</f>
        <v>3.17724761904762</v>
      </c>
      <c r="E37" s="9" t="n">
        <f aca="false">_xlfn.MAXIFS('Raw Data'!$S$2:$S$670,'Raw Data'!$A$2:$A$670,$A37,'Raw Data'!$J$2:$J$670,$B37)</f>
        <v>19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6" min="1" style="0" width="17"/>
  </cols>
  <sheetData>
    <row r="1" customFormat="false" ht="17.35" hidden="false" customHeight="false" outlineLevel="0" collapsed="false">
      <c r="A1" s="1" t="s">
        <v>44</v>
      </c>
      <c r="B1" s="1"/>
      <c r="C1" s="1"/>
      <c r="D1" s="1"/>
      <c r="E1" s="1"/>
      <c r="F1" s="1"/>
    </row>
    <row r="3" customFormat="false" ht="15" hidden="false" customHeight="false" outlineLevel="0" collapsed="false">
      <c r="A3" s="4" t="s">
        <v>45</v>
      </c>
      <c r="B3" s="4" t="s">
        <v>4</v>
      </c>
      <c r="C3" s="4" t="s">
        <v>5</v>
      </c>
      <c r="D3" s="4" t="s">
        <v>6</v>
      </c>
      <c r="E3" s="4" t="s">
        <v>7</v>
      </c>
      <c r="F3" s="4" t="s">
        <v>8</v>
      </c>
    </row>
    <row r="4" customFormat="false" ht="15" hidden="false" customHeight="false" outlineLevel="0" collapsed="false">
      <c r="A4" s="12" t="s">
        <v>46</v>
      </c>
      <c r="B4" s="12" t="n">
        <f aca="false">COUNTIF('Raw Data'!$D$2:$D$670,$A4)</f>
        <v>284</v>
      </c>
      <c r="C4" s="13" t="n">
        <f aca="false">AVERAGEIF('Raw Data'!$D$2:$D$670,$A4,'Raw Data'!$S$2:$S$670)</f>
        <v>6.93521126760563</v>
      </c>
      <c r="D4" s="13" t="n">
        <f aca="false" t="array" ref="D4:D4">MEDIAN(IF('Raw Data'!$D$2:$D$670=$A4,'Raw Data'!$S$2:$S$670))</f>
        <v>2</v>
      </c>
      <c r="E4" s="13" t="n">
        <f aca="false">_xlfn.MINIFS('Raw Data'!$S$2:$S$670,'Raw Data'!$D$2:$D$670,$A4)</f>
        <v>0</v>
      </c>
      <c r="F4" s="13" t="n">
        <f aca="false">_xlfn.MAXIFS('Raw Data'!$S$2:$S$670,'Raw Data'!$D$2:$D$670,$A4)</f>
        <v>58</v>
      </c>
    </row>
    <row r="5" customFormat="false" ht="15" hidden="false" customHeight="false" outlineLevel="0" collapsed="false">
      <c r="A5" s="12" t="s">
        <v>47</v>
      </c>
      <c r="B5" s="12" t="n">
        <f aca="false">COUNTIF('Raw Data'!$D$2:$D$670,$A5)</f>
        <v>168</v>
      </c>
      <c r="C5" s="13" t="n">
        <f aca="false">AVERAGEIF('Raw Data'!$D$2:$D$670,$A5,'Raw Data'!$S$2:$S$670)</f>
        <v>6.33234166666667</v>
      </c>
      <c r="D5" s="13" t="n">
        <f aca="false" t="array" ref="D5:D5">MEDIAN(IF('Raw Data'!$D$2:$D$670=$A5,'Raw Data'!$S$2:$S$670))</f>
        <v>2</v>
      </c>
      <c r="E5" s="13" t="n">
        <f aca="false">_xlfn.MINIFS('Raw Data'!$S$2:$S$670,'Raw Data'!$D$2:$D$670,$A5)</f>
        <v>0.0167</v>
      </c>
      <c r="F5" s="13" t="n">
        <f aca="false">_xlfn.MAXIFS('Raw Data'!$S$2:$S$670,'Raw Data'!$D$2:$D$670,$A5)</f>
        <v>58</v>
      </c>
    </row>
    <row r="6" customFormat="false" ht="15" hidden="false" customHeight="false" outlineLevel="0" collapsed="false">
      <c r="A6" s="12" t="s">
        <v>48</v>
      </c>
      <c r="B6" s="12" t="n">
        <f aca="false">COUNTIF('Raw Data'!$D$2:$D$670,$A6)</f>
        <v>45</v>
      </c>
      <c r="C6" s="13" t="n">
        <f aca="false">AVERAGEIF('Raw Data'!$D$2:$D$670,$A6,'Raw Data'!$S$2:$S$670)</f>
        <v>4.34667111111111</v>
      </c>
      <c r="D6" s="13" t="n">
        <f aca="false" t="array" ref="D6:D6">MEDIAN(IF('Raw Data'!$D$2:$D$670=$A6,'Raw Data'!$S$2:$S$670))</f>
        <v>1</v>
      </c>
      <c r="E6" s="13" t="n">
        <f aca="false">_xlfn.MINIFS('Raw Data'!$S$2:$S$670,'Raw Data'!$D$2:$D$670,$A6)</f>
        <v>0.0167</v>
      </c>
      <c r="F6" s="13" t="n">
        <f aca="false">_xlfn.MAXIFS('Raw Data'!$S$2:$S$670,'Raw Data'!$D$2:$D$670,$A6)</f>
        <v>23.5</v>
      </c>
    </row>
    <row r="7" customFormat="false" ht="15" hidden="false" customHeight="false" outlineLevel="0" collapsed="false">
      <c r="A7" s="12" t="s">
        <v>49</v>
      </c>
      <c r="B7" s="12" t="n">
        <f aca="false">COUNTIF('Raw Data'!$D$2:$D$670,$A7)</f>
        <v>40</v>
      </c>
      <c r="C7" s="13" t="n">
        <f aca="false">AVERAGEIF('Raw Data'!$D$2:$D$670,$A7,'Raw Data'!$S$2:$S$670)</f>
        <v>5.3754175</v>
      </c>
      <c r="D7" s="13" t="n">
        <f aca="false" t="array" ref="D7:D7">MEDIAN(IF('Raw Data'!$D$2:$D$670=$A7,'Raw Data'!$S$2:$S$670))</f>
        <v>2</v>
      </c>
      <c r="E7" s="13" t="n">
        <f aca="false">_xlfn.MINIFS('Raw Data'!$S$2:$S$670,'Raw Data'!$D$2:$D$670,$A7)</f>
        <v>0.0167</v>
      </c>
      <c r="F7" s="13" t="n">
        <f aca="false">_xlfn.MAXIFS('Raw Data'!$S$2:$S$670,'Raw Data'!$D$2:$D$670,$A7)</f>
        <v>25</v>
      </c>
    </row>
    <row r="8" customFormat="false" ht="15" hidden="false" customHeight="false" outlineLevel="0" collapsed="false">
      <c r="A8" s="12" t="s">
        <v>50</v>
      </c>
      <c r="B8" s="12" t="n">
        <f aca="false">COUNTIF('Raw Data'!$D$2:$D$670,$A8)</f>
        <v>36</v>
      </c>
      <c r="C8" s="13" t="n">
        <f aca="false">AVERAGEIF('Raw Data'!$D$2:$D$670,$A8,'Raw Data'!$S$2:$S$670)</f>
        <v>7.81713055555556</v>
      </c>
      <c r="D8" s="13" t="n">
        <f aca="false" t="array" ref="D8:D8">MEDIAN(IF('Raw Data'!$D$2:$D$670=$A8,'Raw Data'!$S$2:$S$670))</f>
        <v>2.55</v>
      </c>
      <c r="E8" s="13" t="n">
        <f aca="false">_xlfn.MINIFS('Raw Data'!$S$2:$S$670,'Raw Data'!$D$2:$D$670,$A8)</f>
        <v>0.2</v>
      </c>
      <c r="F8" s="13" t="n">
        <f aca="false">_xlfn.MAXIFS('Raw Data'!$S$2:$S$670,'Raw Data'!$D$2:$D$670,$A8)</f>
        <v>46</v>
      </c>
    </row>
    <row r="9" customFormat="false" ht="15" hidden="false" customHeight="false" outlineLevel="0" collapsed="false">
      <c r="A9" s="12" t="s">
        <v>51</v>
      </c>
      <c r="B9" s="12" t="n">
        <f aca="false">COUNTIF('Raw Data'!$D$2:$D$670,$A9)</f>
        <v>30</v>
      </c>
      <c r="C9" s="13" t="n">
        <f aca="false">AVERAGEIF('Raw Data'!$D$2:$D$670,$A9,'Raw Data'!$S$2:$S$670)</f>
        <v>3.98444666666667</v>
      </c>
      <c r="D9" s="13" t="n">
        <f aca="false" t="array" ref="D9:D9">MEDIAN(IF('Raw Data'!$D$2:$D$670=$A9,'Raw Data'!$S$2:$S$670))</f>
        <v>2.25</v>
      </c>
      <c r="E9" s="13" t="n">
        <f aca="false">_xlfn.MINIFS('Raw Data'!$S$2:$S$670,'Raw Data'!$D$2:$D$670,$A9)</f>
        <v>0.0167</v>
      </c>
      <c r="F9" s="13" t="n">
        <f aca="false">_xlfn.MAXIFS('Raw Data'!$S$2:$S$670,'Raw Data'!$D$2:$D$670,$A9)</f>
        <v>20.5</v>
      </c>
    </row>
    <row r="10" customFormat="false" ht="15" hidden="false" customHeight="false" outlineLevel="0" collapsed="false">
      <c r="A10" s="12" t="s">
        <v>52</v>
      </c>
      <c r="B10" s="12" t="n">
        <f aca="false">COUNTIF('Raw Data'!$D$2:$D$670,$A10)</f>
        <v>27</v>
      </c>
      <c r="C10" s="13" t="n">
        <f aca="false">AVERAGEIF('Raw Data'!$D$2:$D$670,$A10,'Raw Data'!$S$2:$S$670)</f>
        <v>5.48148148148148</v>
      </c>
      <c r="D10" s="13" t="n">
        <f aca="false" t="array" ref="D10:D10">MEDIAN(IF('Raw Data'!$D$2:$D$670=$A10,'Raw Data'!$S$2:$S$670))</f>
        <v>1</v>
      </c>
      <c r="E10" s="13" t="n">
        <f aca="false">_xlfn.MINIFS('Raw Data'!$S$2:$S$670,'Raw Data'!$D$2:$D$670,$A10)</f>
        <v>1</v>
      </c>
      <c r="F10" s="13" t="n">
        <f aca="false">_xlfn.MAXIFS('Raw Data'!$S$2:$S$670,'Raw Data'!$D$2:$D$670,$A10)</f>
        <v>36</v>
      </c>
    </row>
    <row r="11" customFormat="false" ht="15" hidden="false" customHeight="false" outlineLevel="0" collapsed="false">
      <c r="A11" s="12" t="s">
        <v>53</v>
      </c>
      <c r="B11" s="12" t="n">
        <f aca="false">COUNTIF('Raw Data'!$D$2:$D$670,$A11)</f>
        <v>24</v>
      </c>
      <c r="C11" s="13" t="n">
        <f aca="false">AVERAGEIF('Raw Data'!$D$2:$D$670,$A11,'Raw Data'!$S$2:$S$670)</f>
        <v>6.5882125</v>
      </c>
      <c r="D11" s="13" t="n">
        <f aca="false" t="array" ref="D11:D11">MEDIAN(IF('Raw Data'!$D$2:$D$670=$A11,'Raw Data'!$S$2:$S$670))</f>
        <v>0.425</v>
      </c>
      <c r="E11" s="13" t="n">
        <f aca="false">_xlfn.MINIFS('Raw Data'!$S$2:$S$670,'Raw Data'!$D$2:$D$670,$A11)</f>
        <v>0.0167</v>
      </c>
      <c r="F11" s="13" t="n">
        <f aca="false">_xlfn.MAXIFS('Raw Data'!$S$2:$S$670,'Raw Data'!$D$2:$D$670,$A11)</f>
        <v>72</v>
      </c>
    </row>
    <row r="12" customFormat="false" ht="15" hidden="false" customHeight="false" outlineLevel="0" collapsed="false">
      <c r="A12" s="12" t="s">
        <v>54</v>
      </c>
      <c r="B12" s="12" t="n">
        <f aca="false">COUNTIF('Raw Data'!$D$2:$D$670,$A12)</f>
        <v>15</v>
      </c>
      <c r="C12" s="13" t="n">
        <f aca="false">AVERAGEIF('Raw Data'!$D$2:$D$670,$A12,'Raw Data'!$S$2:$S$670)</f>
        <v>1.27334666666667</v>
      </c>
      <c r="D12" s="13" t="n">
        <f aca="false" t="array" ref="D12:D12">MEDIAN(IF('Raw Data'!$D$2:$D$670=$A12,'Raw Data'!$S$2:$S$670))</f>
        <v>0.9833</v>
      </c>
      <c r="E12" s="13" t="n">
        <f aca="false">_xlfn.MINIFS('Raw Data'!$S$2:$S$670,'Raw Data'!$D$2:$D$670,$A12)</f>
        <v>0.0167</v>
      </c>
      <c r="F12" s="13" t="n">
        <f aca="false">_xlfn.MAXIFS('Raw Data'!$S$2:$S$670,'Raw Data'!$D$2:$D$670,$A12)</f>
        <v>7</v>
      </c>
    </row>
    <row r="15" customFormat="false" ht="15" hidden="false" customHeight="false" outlineLevel="0" collapsed="false">
      <c r="A15" s="3" t="s">
        <v>55</v>
      </c>
    </row>
    <row r="16" customFormat="false" ht="15" hidden="false" customHeight="false" outlineLevel="0" collapsed="false">
      <c r="A16" s="4" t="s">
        <v>45</v>
      </c>
      <c r="B16" s="4" t="s">
        <v>3</v>
      </c>
      <c r="C16" s="4" t="s">
        <v>4</v>
      </c>
      <c r="D16" s="4" t="s">
        <v>5</v>
      </c>
      <c r="E16" s="4" t="s">
        <v>8</v>
      </c>
    </row>
    <row r="17" customFormat="false" ht="15" hidden="false" customHeight="false" outlineLevel="0" collapsed="false">
      <c r="A17" s="5" t="s">
        <v>48</v>
      </c>
      <c r="B17" s="5" t="s">
        <v>12</v>
      </c>
      <c r="C17" s="5" t="n">
        <f aca="false">COUNTIFS('Raw Data'!$D$2:$D$670,$A17,'Raw Data'!$J$2:$J$670,$B17)</f>
        <v>15</v>
      </c>
      <c r="D17" s="6" t="n">
        <f aca="false">_xlfn.IFS(C17=0,0,C17&gt;0,AVERAGEIFS('Raw Data'!$S$2:$S$670,'Raw Data'!$D$2:$D$670,$A17,'Raw Data'!$J$2:$J$670,$B17))</f>
        <v>8.17000666666667</v>
      </c>
      <c r="E17" s="6" t="n">
        <f aca="false">_xlfn.MAXIFS('Raw Data'!$S$2:$S$670,'Raw Data'!$D$2:$D$670,$A17,'Raw Data'!$J$2:$J$670,$B17)</f>
        <v>23.5</v>
      </c>
    </row>
    <row r="18" customFormat="false" ht="15" hidden="false" customHeight="false" outlineLevel="0" collapsed="false">
      <c r="A18" s="8" t="s">
        <v>48</v>
      </c>
      <c r="B18" s="8" t="s">
        <v>13</v>
      </c>
      <c r="C18" s="8" t="n">
        <f aca="false">COUNTIFS('Raw Data'!$D$2:$D$670,$A18,'Raw Data'!$J$2:$J$670,$B18)</f>
        <v>30</v>
      </c>
      <c r="D18" s="9" t="n">
        <f aca="false">_xlfn.IFS(C18=0,0,C18&gt;0,AVERAGEIFS('Raw Data'!$S$2:$S$670,'Raw Data'!$D$2:$D$670,$A18,'Raw Data'!$J$2:$J$670,$B18))</f>
        <v>2.43500333333333</v>
      </c>
      <c r="E18" s="9" t="n">
        <f aca="false">_xlfn.MAXIFS('Raw Data'!$S$2:$S$670,'Raw Data'!$D$2:$D$670,$A18,'Raw Data'!$J$2:$J$670,$B18)</f>
        <v>15</v>
      </c>
    </row>
    <row r="19" customFormat="false" ht="15" hidden="false" customHeight="false" outlineLevel="0" collapsed="false">
      <c r="A19" s="5" t="s">
        <v>51</v>
      </c>
      <c r="B19" s="5" t="s">
        <v>12</v>
      </c>
      <c r="C19" s="5" t="n">
        <f aca="false">COUNTIFS('Raw Data'!$D$2:$D$670,$A19,'Raw Data'!$J$2:$J$670,$B19)</f>
        <v>10</v>
      </c>
      <c r="D19" s="6" t="n">
        <f aca="false">_xlfn.IFS(C19=0,0,C19&gt;0,AVERAGEIFS('Raw Data'!$S$2:$S$670,'Raw Data'!$D$2:$D$670,$A19,'Raw Data'!$J$2:$J$670,$B19))</f>
        <v>4.90167</v>
      </c>
      <c r="E19" s="6" t="n">
        <f aca="false">_xlfn.MAXIFS('Raw Data'!$S$2:$S$670,'Raw Data'!$D$2:$D$670,$A19,'Raw Data'!$J$2:$J$670,$B19)</f>
        <v>20.5</v>
      </c>
    </row>
    <row r="20" customFormat="false" ht="15" hidden="false" customHeight="false" outlineLevel="0" collapsed="false">
      <c r="A20" s="8" t="s">
        <v>51</v>
      </c>
      <c r="B20" s="8" t="s">
        <v>13</v>
      </c>
      <c r="C20" s="8" t="n">
        <f aca="false">COUNTIFS('Raw Data'!$D$2:$D$670,$A20,'Raw Data'!$J$2:$J$670,$B20)</f>
        <v>20</v>
      </c>
      <c r="D20" s="9" t="n">
        <f aca="false">_xlfn.IFS(C20=0,0,C20&gt;0,AVERAGEIFS('Raw Data'!$S$2:$S$670,'Raw Data'!$D$2:$D$670,$A20,'Raw Data'!$J$2:$J$670,$B20))</f>
        <v>3.525835</v>
      </c>
      <c r="E20" s="9" t="n">
        <f aca="false">_xlfn.MAXIFS('Raw Data'!$S$2:$S$670,'Raw Data'!$D$2:$D$670,$A20,'Raw Data'!$J$2:$J$670,$B20)</f>
        <v>14</v>
      </c>
    </row>
    <row r="21" customFormat="false" ht="15" hidden="false" customHeight="false" outlineLevel="0" collapsed="false">
      <c r="A21" s="5" t="s">
        <v>50</v>
      </c>
      <c r="B21" s="5" t="s">
        <v>12</v>
      </c>
      <c r="C21" s="5" t="n">
        <f aca="false">COUNTIFS('Raw Data'!$D$2:$D$670,$A21,'Raw Data'!$J$2:$J$670,$B21)</f>
        <v>10</v>
      </c>
      <c r="D21" s="6" t="n">
        <f aca="false">_xlfn.IFS(C21=0,0,C21&gt;0,AVERAGEIFS('Raw Data'!$S$2:$S$670,'Raw Data'!$D$2:$D$670,$A21,'Raw Data'!$J$2:$J$670,$B21))</f>
        <v>16.79</v>
      </c>
      <c r="E21" s="6" t="n">
        <f aca="false">_xlfn.MAXIFS('Raw Data'!$S$2:$S$670,'Raw Data'!$D$2:$D$670,$A21,'Raw Data'!$J$2:$J$670,$B21)</f>
        <v>46</v>
      </c>
    </row>
    <row r="22" customFormat="false" ht="15" hidden="false" customHeight="false" outlineLevel="0" collapsed="false">
      <c r="A22" s="8" t="s">
        <v>50</v>
      </c>
      <c r="B22" s="8" t="s">
        <v>13</v>
      </c>
      <c r="C22" s="8" t="n">
        <f aca="false">COUNTIFS('Raw Data'!$D$2:$D$670,$A22,'Raw Data'!$J$2:$J$670,$B22)</f>
        <v>26</v>
      </c>
      <c r="D22" s="9" t="n">
        <f aca="false">_xlfn.IFS(C22=0,0,C22&gt;0,AVERAGEIFS('Raw Data'!$S$2:$S$670,'Raw Data'!$D$2:$D$670,$A22,'Raw Data'!$J$2:$J$670,$B22))</f>
        <v>4.36602692307692</v>
      </c>
      <c r="E22" s="9" t="n">
        <f aca="false">_xlfn.MAXIFS('Raw Data'!$S$2:$S$670,'Raw Data'!$D$2:$D$670,$A22,'Raw Data'!$J$2:$J$670,$B22)</f>
        <v>27</v>
      </c>
    </row>
    <row r="23" customFormat="false" ht="15" hidden="false" customHeight="false" outlineLevel="0" collapsed="false">
      <c r="A23" s="5" t="s">
        <v>47</v>
      </c>
      <c r="B23" s="5" t="s">
        <v>12</v>
      </c>
      <c r="C23" s="5" t="n">
        <f aca="false">COUNTIFS('Raw Data'!$D$2:$D$670,$A23,'Raw Data'!$J$2:$J$670,$B23)</f>
        <v>54</v>
      </c>
      <c r="D23" s="6" t="n">
        <f aca="false">_xlfn.IFS(C23=0,0,C23&gt;0,AVERAGEIFS('Raw Data'!$S$2:$S$670,'Raw Data'!$D$2:$D$670,$A23,'Raw Data'!$J$2:$J$670,$B23))</f>
        <v>12.6175925925926</v>
      </c>
      <c r="E23" s="6" t="n">
        <f aca="false">_xlfn.MAXIFS('Raw Data'!$S$2:$S$670,'Raw Data'!$D$2:$D$670,$A23,'Raw Data'!$J$2:$J$670,$B23)</f>
        <v>58</v>
      </c>
    </row>
    <row r="24" customFormat="false" ht="15" hidden="false" customHeight="false" outlineLevel="0" collapsed="false">
      <c r="A24" s="8" t="s">
        <v>47</v>
      </c>
      <c r="B24" s="8" t="s">
        <v>13</v>
      </c>
      <c r="C24" s="8" t="n">
        <f aca="false">COUNTIFS('Raw Data'!$D$2:$D$670,$A24,'Raw Data'!$J$2:$J$670,$B24)</f>
        <v>114</v>
      </c>
      <c r="D24" s="9" t="n">
        <f aca="false">_xlfn.IFS(C24=0,0,C24&gt;0,AVERAGEIFS('Raw Data'!$S$2:$S$670,'Raw Data'!$D$2:$D$670,$A24,'Raw Data'!$J$2:$J$670,$B24))</f>
        <v>3.35511754385965</v>
      </c>
      <c r="E24" s="9" t="n">
        <f aca="false">_xlfn.MAXIFS('Raw Data'!$S$2:$S$670,'Raw Data'!$D$2:$D$670,$A24,'Raw Data'!$J$2:$J$670,$B24)</f>
        <v>19</v>
      </c>
    </row>
    <row r="25" customFormat="false" ht="15" hidden="false" customHeight="false" outlineLevel="0" collapsed="false">
      <c r="A25" s="5" t="s">
        <v>49</v>
      </c>
      <c r="B25" s="5" t="s">
        <v>12</v>
      </c>
      <c r="C25" s="5" t="n">
        <f aca="false">COUNTIFS('Raw Data'!$D$2:$D$670,$A25,'Raw Data'!$J$2:$J$670,$B25)</f>
        <v>11</v>
      </c>
      <c r="D25" s="6" t="n">
        <f aca="false">_xlfn.IFS(C25=0,0,C25&gt;0,AVERAGEIFS('Raw Data'!$S$2:$S$670,'Raw Data'!$D$2:$D$670,$A25,'Raw Data'!$J$2:$J$670,$B25))</f>
        <v>6.27272727272727</v>
      </c>
      <c r="E25" s="6" t="n">
        <f aca="false">_xlfn.MAXIFS('Raw Data'!$S$2:$S$670,'Raw Data'!$D$2:$D$670,$A25,'Raw Data'!$J$2:$J$670,$B25)</f>
        <v>17</v>
      </c>
    </row>
    <row r="26" customFormat="false" ht="15" hidden="false" customHeight="false" outlineLevel="0" collapsed="false">
      <c r="A26" s="8" t="s">
        <v>49</v>
      </c>
      <c r="B26" s="8" t="s">
        <v>13</v>
      </c>
      <c r="C26" s="8" t="n">
        <f aca="false">COUNTIFS('Raw Data'!$D$2:$D$670,$A26,'Raw Data'!$J$2:$J$670,$B26)</f>
        <v>29</v>
      </c>
      <c r="D26" s="9" t="n">
        <f aca="false">_xlfn.IFS(C26=0,0,C26&gt;0,AVERAGEIFS('Raw Data'!$S$2:$S$670,'Raw Data'!$D$2:$D$670,$A26,'Raw Data'!$J$2:$J$670,$B26))</f>
        <v>5.03505862068966</v>
      </c>
      <c r="E26" s="9" t="n">
        <f aca="false">_xlfn.MAXIFS('Raw Data'!$S$2:$S$670,'Raw Data'!$D$2:$D$670,$A26,'Raw Data'!$J$2:$J$670,$B26)</f>
        <v>25</v>
      </c>
    </row>
    <row r="27" customFormat="false" ht="15" hidden="false" customHeight="false" outlineLevel="0" collapsed="false">
      <c r="A27" s="5" t="s">
        <v>54</v>
      </c>
      <c r="B27" s="5" t="s">
        <v>12</v>
      </c>
      <c r="C27" s="5" t="n">
        <f aca="false">COUNTIFS('Raw Data'!$D$2:$D$670,$A27,'Raw Data'!$J$2:$J$670,$B27)</f>
        <v>5</v>
      </c>
      <c r="D27" s="6" t="n">
        <f aca="false">_xlfn.IFS(C27=0,0,C27&gt;0,AVERAGEIFS('Raw Data'!$S$2:$S$670,'Raw Data'!$D$2:$D$670,$A27,'Raw Data'!$J$2:$J$670,$B27))</f>
        <v>1.21336</v>
      </c>
      <c r="E27" s="6" t="n">
        <f aca="false">_xlfn.MAXIFS('Raw Data'!$S$2:$S$670,'Raw Data'!$D$2:$D$670,$A27,'Raw Data'!$J$2:$J$670,$B27)</f>
        <v>6</v>
      </c>
    </row>
    <row r="28" customFormat="false" ht="15" hidden="false" customHeight="false" outlineLevel="0" collapsed="false">
      <c r="A28" s="8" t="s">
        <v>54</v>
      </c>
      <c r="B28" s="8" t="s">
        <v>13</v>
      </c>
      <c r="C28" s="8" t="n">
        <f aca="false">COUNTIFS('Raw Data'!$D$2:$D$670,$A28,'Raw Data'!$J$2:$J$670,$B28)</f>
        <v>10</v>
      </c>
      <c r="D28" s="9" t="n">
        <f aca="false">_xlfn.IFS(C28=0,0,C28&gt;0,AVERAGEIFS('Raw Data'!$S$2:$S$670,'Raw Data'!$D$2:$D$670,$A28,'Raw Data'!$J$2:$J$670,$B28))</f>
        <v>1.30334</v>
      </c>
      <c r="E28" s="9" t="n">
        <f aca="false">_xlfn.MAXIFS('Raw Data'!$S$2:$S$670,'Raw Data'!$D$2:$D$670,$A28,'Raw Data'!$J$2:$J$670,$B28)</f>
        <v>7</v>
      </c>
    </row>
    <row r="29" customFormat="false" ht="15" hidden="false" customHeight="false" outlineLevel="0" collapsed="false">
      <c r="A29" s="5" t="s">
        <v>53</v>
      </c>
      <c r="B29" s="5" t="s">
        <v>12</v>
      </c>
      <c r="C29" s="5" t="n">
        <f aca="false">COUNTIFS('Raw Data'!$D$2:$D$670,$A29,'Raw Data'!$J$2:$J$670,$B29)</f>
        <v>8</v>
      </c>
      <c r="D29" s="6" t="n">
        <f aca="false">_xlfn.IFS(C29=0,0,C29&gt;0,AVERAGEIFS('Raw Data'!$S$2:$S$670,'Raw Data'!$D$2:$D$670,$A29,'Raw Data'!$J$2:$J$670,$B29))</f>
        <v>2.3354375</v>
      </c>
      <c r="E29" s="6" t="n">
        <f aca="false">_xlfn.MAXIFS('Raw Data'!$S$2:$S$670,'Raw Data'!$D$2:$D$670,$A29,'Raw Data'!$J$2:$J$670,$B29)</f>
        <v>10</v>
      </c>
    </row>
    <row r="30" customFormat="false" ht="15" hidden="false" customHeight="false" outlineLevel="0" collapsed="false">
      <c r="A30" s="8" t="s">
        <v>53</v>
      </c>
      <c r="B30" s="8" t="s">
        <v>13</v>
      </c>
      <c r="C30" s="8" t="n">
        <f aca="false">COUNTIFS('Raw Data'!$D$2:$D$670,$A30,'Raw Data'!$J$2:$J$670,$B30)</f>
        <v>16</v>
      </c>
      <c r="D30" s="9" t="n">
        <f aca="false">_xlfn.IFS(C30=0,0,C30&gt;0,AVERAGEIFS('Raw Data'!$S$2:$S$670,'Raw Data'!$D$2:$D$670,$A30,'Raw Data'!$J$2:$J$670,$B30))</f>
        <v>8.7146</v>
      </c>
      <c r="E30" s="9" t="n">
        <f aca="false">_xlfn.MAXIFS('Raw Data'!$S$2:$S$670,'Raw Data'!$D$2:$D$670,$A30,'Raw Data'!$J$2:$J$670,$B30)</f>
        <v>72</v>
      </c>
    </row>
    <row r="31" customFormat="false" ht="15" hidden="false" customHeight="false" outlineLevel="0" collapsed="false">
      <c r="A31" s="5" t="s">
        <v>46</v>
      </c>
      <c r="B31" s="5" t="s">
        <v>12</v>
      </c>
      <c r="C31" s="5" t="n">
        <f aca="false">COUNTIFS('Raw Data'!$D$2:$D$670,$A31,'Raw Data'!$J$2:$J$670,$B31)</f>
        <v>87</v>
      </c>
      <c r="D31" s="6" t="n">
        <f aca="false">_xlfn.IFS(C31=0,0,C31&gt;0,AVERAGEIFS('Raw Data'!$S$2:$S$670,'Raw Data'!$D$2:$D$670,$A31,'Raw Data'!$J$2:$J$670,$B31))</f>
        <v>12.8643666666667</v>
      </c>
      <c r="E31" s="6" t="n">
        <f aca="false">_xlfn.MAXIFS('Raw Data'!$S$2:$S$670,'Raw Data'!$D$2:$D$670,$A31,'Raw Data'!$J$2:$J$670,$B31)</f>
        <v>58</v>
      </c>
    </row>
    <row r="32" customFormat="false" ht="15" hidden="false" customHeight="false" outlineLevel="0" collapsed="false">
      <c r="A32" s="8" t="s">
        <v>46</v>
      </c>
      <c r="B32" s="8" t="s">
        <v>13</v>
      </c>
      <c r="C32" s="8" t="n">
        <f aca="false">COUNTIFS('Raw Data'!$D$2:$D$670,$A32,'Raw Data'!$J$2:$J$670,$B32)</f>
        <v>197</v>
      </c>
      <c r="D32" s="9" t="n">
        <f aca="false">_xlfn.IFS(C32=0,0,C32&gt;0,AVERAGEIFS('Raw Data'!$S$2:$S$670,'Raw Data'!$D$2:$D$670,$A32,'Raw Data'!$J$2:$J$670,$B32))</f>
        <v>4.31675177664975</v>
      </c>
      <c r="E32" s="9" t="n">
        <f aca="false">_xlfn.MAXIFS('Raw Data'!$S$2:$S$670,'Raw Data'!$D$2:$D$670,$A32,'Raw Data'!$J$2:$J$670,$B32)</f>
        <v>54</v>
      </c>
    </row>
    <row r="33" customFormat="false" ht="15" hidden="false" customHeight="false" outlineLevel="0" collapsed="false">
      <c r="A33" s="5" t="s">
        <v>52</v>
      </c>
      <c r="B33" s="5" t="s">
        <v>12</v>
      </c>
      <c r="C33" s="5" t="n">
        <f aca="false">COUNTIFS('Raw Data'!$D$2:$D$670,$A33,'Raw Data'!$J$2:$J$670,$B33)</f>
        <v>9</v>
      </c>
      <c r="D33" s="6" t="n">
        <f aca="false">_xlfn.IFS(C33=0,0,C33&gt;0,AVERAGEIFS('Raw Data'!$S$2:$S$670,'Raw Data'!$D$2:$D$670,$A33,'Raw Data'!$J$2:$J$670,$B33))</f>
        <v>12.1111111111111</v>
      </c>
      <c r="E33" s="6" t="n">
        <f aca="false">_xlfn.MAXIFS('Raw Data'!$S$2:$S$670,'Raw Data'!$D$2:$D$670,$A33,'Raw Data'!$J$2:$J$670,$B33)</f>
        <v>36</v>
      </c>
    </row>
    <row r="34" customFormat="false" ht="15" hidden="false" customHeight="false" outlineLevel="0" collapsed="false">
      <c r="A34" s="8" t="s">
        <v>52</v>
      </c>
      <c r="B34" s="8" t="s">
        <v>13</v>
      </c>
      <c r="C34" s="8" t="n">
        <f aca="false">COUNTIFS('Raw Data'!$D$2:$D$670,$A34,'Raw Data'!$J$2:$J$670,$B34)</f>
        <v>18</v>
      </c>
      <c r="D34" s="9" t="n">
        <f aca="false">_xlfn.IFS(C34=0,0,C34&gt;0,AVERAGEIFS('Raw Data'!$S$2:$S$670,'Raw Data'!$D$2:$D$670,$A34,'Raw Data'!$J$2:$J$670,$B34))</f>
        <v>2.16666666666667</v>
      </c>
      <c r="E34" s="9" t="n">
        <f aca="false">_xlfn.MAXIFS('Raw Data'!$S$2:$S$670,'Raw Data'!$D$2:$D$670,$A34,'Raw Data'!$J$2:$J$670,$B34)</f>
        <v>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5" min="1" style="0" width="18"/>
  </cols>
  <sheetData>
    <row r="1" customFormat="false" ht="17.35" hidden="false" customHeight="false" outlineLevel="0" collapsed="false">
      <c r="A1" s="1" t="s">
        <v>56</v>
      </c>
      <c r="B1" s="1"/>
      <c r="C1" s="1"/>
      <c r="D1" s="1"/>
    </row>
    <row r="3" customFormat="false" ht="15" hidden="false" customHeight="false" outlineLevel="0" collapsed="false">
      <c r="A3" s="4" t="s">
        <v>57</v>
      </c>
      <c r="B3" s="4" t="s">
        <v>58</v>
      </c>
      <c r="C3" s="4" t="s">
        <v>59</v>
      </c>
      <c r="D3" s="4" t="s">
        <v>60</v>
      </c>
      <c r="E3" s="4" t="s">
        <v>61</v>
      </c>
    </row>
    <row r="4" customFormat="false" ht="15" hidden="false" customHeight="false" outlineLevel="0" collapsed="false">
      <c r="A4" s="12" t="s">
        <v>62</v>
      </c>
      <c r="B4" s="13" t="n">
        <f aca="false">IFERROR(AVERAGEIFS('Raw Data'!$S$2:$S$670,'Raw Data'!$T$2:$T$670,$A4,'Raw Data'!$J$2:$J$670,"THBKK"),0)</f>
        <v>10.3400033333333</v>
      </c>
      <c r="C4" s="13" t="n">
        <f aca="false">IFERROR(AVERAGEIFS('Raw Data'!$S$2:$S$670,'Raw Data'!$T$2:$T$670,$A4,'Raw Data'!$J$2:$J$670,"THLCH"),0)</f>
        <v>3.05901967213115</v>
      </c>
      <c r="D4" s="12" t="n">
        <f aca="false">COUNTIFS('Raw Data'!$T$2:$T$670,$A4,'Raw Data'!$J$2:$J$670,"THBKK")</f>
        <v>30</v>
      </c>
      <c r="E4" s="12" t="n">
        <f aca="false">COUNTIFS('Raw Data'!$T$2:$T$670,$A4,'Raw Data'!$J$2:$J$670,"THLCH")</f>
        <v>61</v>
      </c>
    </row>
    <row r="5" customFormat="false" ht="15" hidden="false" customHeight="false" outlineLevel="0" collapsed="false">
      <c r="A5" s="12" t="s">
        <v>63</v>
      </c>
      <c r="B5" s="13" t="n">
        <f aca="false">IFERROR(AVERAGEIFS('Raw Data'!$S$2:$S$670,'Raw Data'!$T$2:$T$670,$A5,'Raw Data'!$J$2:$J$670,"THBKK"),0)</f>
        <v>16.742668</v>
      </c>
      <c r="C5" s="13" t="n">
        <f aca="false">IFERROR(AVERAGEIFS('Raw Data'!$S$2:$S$670,'Raw Data'!$T$2:$T$670,$A5,'Raw Data'!$J$2:$J$670,"THLCH"),0)</f>
        <v>4.19779811320755</v>
      </c>
      <c r="D5" s="12" t="n">
        <f aca="false">COUNTIFS('Raw Data'!$T$2:$T$670,$A5,'Raw Data'!$J$2:$J$670,"THBKK")</f>
        <v>25</v>
      </c>
      <c r="E5" s="12" t="n">
        <f aca="false">COUNTIFS('Raw Data'!$T$2:$T$670,$A5,'Raw Data'!$J$2:$J$670,"THLCH")</f>
        <v>53</v>
      </c>
    </row>
    <row r="6" customFormat="false" ht="15" hidden="false" customHeight="false" outlineLevel="0" collapsed="false">
      <c r="A6" s="12" t="s">
        <v>64</v>
      </c>
      <c r="B6" s="13" t="n">
        <f aca="false">IFERROR(AVERAGEIFS('Raw Data'!$S$2:$S$670,'Raw Data'!$T$2:$T$670,$A6,'Raw Data'!$J$2:$J$670,"THBKK"),0)</f>
        <v>16.5006423076923</v>
      </c>
      <c r="C6" s="13" t="n">
        <f aca="false">IFERROR(AVERAGEIFS('Raw Data'!$S$2:$S$670,'Raw Data'!$T$2:$T$670,$A6,'Raw Data'!$J$2:$J$670,"THLCH"),0)</f>
        <v>6.51242363636364</v>
      </c>
      <c r="D6" s="12" t="n">
        <f aca="false">COUNTIFS('Raw Data'!$T$2:$T$670,$A6,'Raw Data'!$J$2:$J$670,"THBKK")</f>
        <v>26</v>
      </c>
      <c r="E6" s="12" t="n">
        <f aca="false">COUNTIFS('Raw Data'!$T$2:$T$670,$A6,'Raw Data'!$J$2:$J$670,"THLCH")</f>
        <v>55</v>
      </c>
    </row>
    <row r="7" customFormat="false" ht="15" hidden="false" customHeight="false" outlineLevel="0" collapsed="false">
      <c r="A7" s="12" t="s">
        <v>65</v>
      </c>
      <c r="B7" s="13" t="n">
        <f aca="false">IFERROR(AVERAGEIFS('Raw Data'!$S$2:$S$670,'Raw Data'!$T$2:$T$670,$A7,'Raw Data'!$J$2:$J$670,"THBKK"),0)</f>
        <v>8.63623043478261</v>
      </c>
      <c r="C7" s="13" t="n">
        <f aca="false">IFERROR(AVERAGEIFS('Raw Data'!$S$2:$S$670,'Raw Data'!$T$2:$T$670,$A7,'Raw Data'!$J$2:$J$670,"THLCH"),0)</f>
        <v>3.43456851851852</v>
      </c>
      <c r="D7" s="12" t="n">
        <f aca="false">COUNTIFS('Raw Data'!$T$2:$T$670,$A7,'Raw Data'!$J$2:$J$670,"THBKK")</f>
        <v>23</v>
      </c>
      <c r="E7" s="12" t="n">
        <f aca="false">COUNTIFS('Raw Data'!$T$2:$T$670,$A7,'Raw Data'!$J$2:$J$670,"THLCH")</f>
        <v>54</v>
      </c>
    </row>
    <row r="8" customFormat="false" ht="15" hidden="false" customHeight="false" outlineLevel="0" collapsed="false">
      <c r="A8" s="12" t="s">
        <v>66</v>
      </c>
      <c r="B8" s="13" t="n">
        <f aca="false">IFERROR(AVERAGEIFS('Raw Data'!$S$2:$S$670,'Raw Data'!$T$2:$T$670,$A8,'Raw Data'!$J$2:$J$670,"THBKK"),0)</f>
        <v>8.23846538461539</v>
      </c>
      <c r="C8" s="13" t="n">
        <f aca="false">IFERROR(AVERAGEIFS('Raw Data'!$S$2:$S$670,'Raw Data'!$T$2:$T$670,$A8,'Raw Data'!$J$2:$J$670,"THLCH"),0)</f>
        <v>4.14386315789474</v>
      </c>
      <c r="D8" s="12" t="n">
        <f aca="false">COUNTIFS('Raw Data'!$T$2:$T$670,$A8,'Raw Data'!$J$2:$J$670,"THBKK")</f>
        <v>26</v>
      </c>
      <c r="E8" s="12" t="n">
        <f aca="false">COUNTIFS('Raw Data'!$T$2:$T$670,$A8,'Raw Data'!$J$2:$J$670,"THLCH")</f>
        <v>57</v>
      </c>
    </row>
    <row r="9" customFormat="false" ht="15" hidden="false" customHeight="false" outlineLevel="0" collapsed="false">
      <c r="A9" s="12" t="s">
        <v>67</v>
      </c>
      <c r="B9" s="13" t="n">
        <f aca="false">IFERROR(AVERAGEIFS('Raw Data'!$S$2:$S$670,'Raw Data'!$T$2:$T$670,$A9,'Raw Data'!$J$2:$J$670,"THBKK"),0)</f>
        <v>9.37917083333333</v>
      </c>
      <c r="C9" s="13" t="n">
        <f aca="false">IFERROR(AVERAGEIFS('Raw Data'!$S$2:$S$670,'Raw Data'!$T$2:$T$670,$A9,'Raw Data'!$J$2:$J$670,"THLCH"),0)</f>
        <v>2.60653725490196</v>
      </c>
      <c r="D9" s="12" t="n">
        <f aca="false">COUNTIFS('Raw Data'!$T$2:$T$670,$A9,'Raw Data'!$J$2:$J$670,"THBKK")</f>
        <v>24</v>
      </c>
      <c r="E9" s="12" t="n">
        <f aca="false">COUNTIFS('Raw Data'!$T$2:$T$670,$A9,'Raw Data'!$J$2:$J$670,"THLCH")</f>
        <v>51</v>
      </c>
    </row>
    <row r="10" customFormat="false" ht="15" hidden="false" customHeight="false" outlineLevel="0" collapsed="false">
      <c r="A10" s="12" t="s">
        <v>68</v>
      </c>
      <c r="B10" s="13" t="n">
        <f aca="false">IFERROR(AVERAGEIFS('Raw Data'!$S$2:$S$670,'Raw Data'!$T$2:$T$670,$A10,'Raw Data'!$J$2:$J$670,"THBKK"),0)</f>
        <v>13.5173913043478</v>
      </c>
      <c r="C10" s="13" t="n">
        <f aca="false">IFERROR(AVERAGEIFS('Raw Data'!$S$2:$S$670,'Raw Data'!$T$2:$T$670,$A10,'Raw Data'!$J$2:$J$670,"THLCH"),0)</f>
        <v>3.65744285714286</v>
      </c>
      <c r="D10" s="12" t="n">
        <f aca="false">COUNTIFS('Raw Data'!$T$2:$T$670,$A10,'Raw Data'!$J$2:$J$670,"THBKK")</f>
        <v>23</v>
      </c>
      <c r="E10" s="12" t="n">
        <f aca="false">COUNTIFS('Raw Data'!$T$2:$T$670,$A10,'Raw Data'!$J$2:$J$670,"THLCH")</f>
        <v>56</v>
      </c>
    </row>
    <row r="11" customFormat="false" ht="15" hidden="false" customHeight="false" outlineLevel="0" collapsed="false">
      <c r="A11" s="12" t="s">
        <v>69</v>
      </c>
      <c r="B11" s="13" t="n">
        <f aca="false">IFERROR(AVERAGEIFS('Raw Data'!$S$2:$S$670,'Raw Data'!$T$2:$T$670,$A11,'Raw Data'!$J$2:$J$670,"THBKK"),0)</f>
        <v>8.19347826086957</v>
      </c>
      <c r="C11" s="13" t="n">
        <f aca="false">IFERROR(AVERAGEIFS('Raw Data'!$S$2:$S$670,'Raw Data'!$T$2:$T$670,$A11,'Raw Data'!$J$2:$J$670,"THLCH"),0)</f>
        <v>4.88818363636364</v>
      </c>
      <c r="D11" s="12" t="n">
        <f aca="false">COUNTIFS('Raw Data'!$T$2:$T$670,$A11,'Raw Data'!$J$2:$J$670,"THBKK")</f>
        <v>23</v>
      </c>
      <c r="E11" s="12" t="n">
        <f aca="false">COUNTIFS('Raw Data'!$T$2:$T$670,$A11,'Raw Data'!$J$2:$J$670,"THLCH")</f>
        <v>55</v>
      </c>
    </row>
    <row r="12" customFormat="false" ht="15" hidden="false" customHeight="false" outlineLevel="0" collapsed="false">
      <c r="A12" s="12" t="s">
        <v>70</v>
      </c>
      <c r="B12" s="13" t="n">
        <f aca="false">IFERROR(AVERAGEIFS('Raw Data'!$S$2:$S$670,'Raw Data'!$T$2:$T$670,$A12,'Raw Data'!$J$2:$J$670,"THBKK"),0)</f>
        <v>5.3</v>
      </c>
      <c r="C12" s="13" t="n">
        <f aca="false">IFERROR(AVERAGEIFS('Raw Data'!$S$2:$S$670,'Raw Data'!$T$2:$T$670,$A12,'Raw Data'!$J$2:$J$670,"THLCH"),0)</f>
        <v>1.77315</v>
      </c>
      <c r="D12" s="12" t="n">
        <f aca="false">COUNTIFS('Raw Data'!$T$2:$T$670,$A12,'Raw Data'!$J$2:$J$670,"THBKK")</f>
        <v>9</v>
      </c>
      <c r="E12" s="12" t="n">
        <f aca="false">COUNTIFS('Raw Data'!$T$2:$T$670,$A12,'Raw Data'!$J$2:$J$670,"THLCH")</f>
        <v>18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9"/>
    <col collapsed="false" customWidth="true" hidden="false" outlineLevel="0" max="4" min="4" style="0" width="16"/>
    <col collapsed="false" customWidth="true" hidden="false" outlineLevel="0" max="5" min="5" style="0" width="7"/>
    <col collapsed="false" customWidth="true" hidden="false" outlineLevel="0" max="6" min="6" style="0" width="10"/>
    <col collapsed="false" customWidth="true" hidden="false" outlineLevel="0" max="7" min="7" style="0" width="7"/>
    <col collapsed="false" customWidth="true" hidden="false" outlineLevel="0" max="9" min="8" style="0" width="17"/>
    <col collapsed="false" customWidth="true" hidden="false" outlineLevel="0" max="10" min="10" style="0" width="11"/>
  </cols>
  <sheetData>
    <row r="1" customFormat="false" ht="17.35" hidden="false" customHeight="false" outlineLevel="0" collapsed="false">
      <c r="A1" s="1" t="s">
        <v>71</v>
      </c>
      <c r="B1" s="1"/>
      <c r="C1" s="1"/>
      <c r="D1" s="1"/>
      <c r="E1" s="1"/>
      <c r="F1" s="1"/>
      <c r="G1" s="1"/>
      <c r="H1" s="1"/>
      <c r="I1" s="1"/>
    </row>
    <row r="3" customFormat="false" ht="15" hidden="false" customHeight="false" outlineLevel="0" collapsed="false">
      <c r="A3" s="4" t="s">
        <v>72</v>
      </c>
      <c r="B3" s="4" t="s">
        <v>30</v>
      </c>
      <c r="C3" s="4" t="s">
        <v>73</v>
      </c>
      <c r="D3" s="4" t="s">
        <v>74</v>
      </c>
      <c r="E3" s="4" t="s">
        <v>16</v>
      </c>
      <c r="F3" s="4" t="s">
        <v>3</v>
      </c>
      <c r="G3" s="4" t="s">
        <v>75</v>
      </c>
      <c r="H3" s="4" t="s">
        <v>76</v>
      </c>
      <c r="I3" s="4" t="s">
        <v>77</v>
      </c>
      <c r="J3" s="4" t="s">
        <v>78</v>
      </c>
    </row>
    <row r="4" customFormat="false" ht="15" hidden="false" customHeight="false" outlineLevel="0" collapsed="false">
      <c r="A4" s="12" t="n">
        <v>1</v>
      </c>
      <c r="B4" s="12" t="str">
        <f aca="false">INDEX('Raw Data'!$A$2:$A$670,MATCH($A4,'Raw Data'!$U$2:$U$670,0))</f>
        <v>KST</v>
      </c>
      <c r="C4" s="12" t="str">
        <f aca="false">INDEX('Raw Data'!$B$2:$B$670,MATCH($A4,'Raw Data'!$U$2:$U$670,0))</f>
        <v>PCCP</v>
      </c>
      <c r="D4" s="12" t="str">
        <f aca="false">INDEX('Raw Data'!$C$2:$C$670,MATCH($A4,'Raw Data'!$U$2:$U$670,0))</f>
        <v>PANCON CHAMPION</v>
      </c>
      <c r="E4" s="12" t="str">
        <f aca="false">INDEX('Raw Data'!$I$2:$I$670,MATCH($A4,'Raw Data'!$U$2:$U$670,0))</f>
        <v>LCH05</v>
      </c>
      <c r="F4" s="12" t="str">
        <f aca="false">INDEX('Raw Data'!$J$2:$J$670,MATCH($A4,'Raw Data'!$U$2:$U$670,0))</f>
        <v>THLCH</v>
      </c>
      <c r="G4" s="12" t="str">
        <f aca="false">INDEX('Raw Data'!$K$2:$K$670,MATCH($A4,'Raw Data'!$U$2:$U$670,0))</f>
        <v>VNSGN</v>
      </c>
      <c r="H4" s="14" t="n">
        <f aca="false">INDEX('Raw Data'!$P$2:$P$670,MATCH($A4,'Raw Data'!$U$2:$U$670,0))</f>
        <v>46112.2083333333</v>
      </c>
      <c r="I4" s="14" t="n">
        <f aca="false">INDEX('Raw Data'!$Q$2:$Q$670,MATCH($A4,'Raw Data'!$U$2:$U$670,0))</f>
        <v>46115.2083333333</v>
      </c>
      <c r="J4" s="13" t="n">
        <f aca="false">INDEX('Raw Data'!$S$2:$S$670,MATCH($A4,'Raw Data'!$U$2:$U$670,0))</f>
        <v>72</v>
      </c>
    </row>
    <row r="5" customFormat="false" ht="15" hidden="false" customHeight="false" outlineLevel="0" collapsed="false">
      <c r="A5" s="12" t="n">
        <v>2</v>
      </c>
      <c r="B5" s="12" t="str">
        <f aca="false">INDEX('Raw Data'!$A$2:$A$670,MATCH($A5,'Raw Data'!$U$2:$U$670,0))</f>
        <v>KHS1</v>
      </c>
      <c r="C5" s="12" t="str">
        <f aca="false">INDEX('Raw Data'!$B$2:$B$670,MATCH($A5,'Raw Data'!$U$2:$U$670,0))</f>
        <v>KPN</v>
      </c>
      <c r="D5" s="12" t="str">
        <f aca="false">INDEX('Raw Data'!$C$2:$C$670,MATCH($A5,'Raw Data'!$U$2:$U$670,0))</f>
        <v>KMTC PUSAN</v>
      </c>
      <c r="E5" s="12" t="str">
        <f aca="false">INDEX('Raw Data'!$I$2:$I$670,MATCH($A5,'Raw Data'!$U$2:$U$670,0))</f>
        <v>BKK01</v>
      </c>
      <c r="F5" s="12" t="str">
        <f aca="false">INDEX('Raw Data'!$J$2:$J$670,MATCH($A5,'Raw Data'!$U$2:$U$670,0))</f>
        <v>THBKK</v>
      </c>
      <c r="G5" s="12" t="str">
        <f aca="false">INDEX('Raw Data'!$K$2:$K$670,MATCH($A5,'Raw Data'!$U$2:$U$670,0))</f>
        <v>THLCH</v>
      </c>
      <c r="H5" s="14" t="n">
        <f aca="false">INDEX('Raw Data'!$P$2:$P$670,MATCH($A5,'Raw Data'!$U$2:$U$670,0))</f>
        <v>46025.0833333333</v>
      </c>
      <c r="I5" s="14" t="n">
        <f aca="false">INDEX('Raw Data'!$Q$2:$Q$670,MATCH($A5,'Raw Data'!$U$2:$U$670,0))</f>
        <v>46027.5</v>
      </c>
      <c r="J5" s="13" t="n">
        <f aca="false">INDEX('Raw Data'!$S$2:$S$670,MATCH($A5,'Raw Data'!$U$2:$U$670,0))</f>
        <v>58</v>
      </c>
    </row>
    <row r="6" customFormat="false" ht="15" hidden="false" customHeight="false" outlineLevel="0" collapsed="false">
      <c r="A6" s="12" t="n">
        <v>3</v>
      </c>
      <c r="B6" s="12" t="str">
        <f aca="false">INDEX('Raw Data'!$A$2:$A$670,MATCH($A6,'Raw Data'!$U$2:$U$670,0))</f>
        <v>KHS1</v>
      </c>
      <c r="C6" s="12" t="str">
        <f aca="false">INDEX('Raw Data'!$B$2:$B$670,MATCH($A6,'Raw Data'!$U$2:$U$670,0))</f>
        <v>SWIC</v>
      </c>
      <c r="D6" s="12" t="str">
        <f aca="false">INDEX('Raw Data'!$C$2:$C$670,MATCH($A6,'Raw Data'!$U$2:$U$670,0))</f>
        <v>SAWASDEE INCHEON</v>
      </c>
      <c r="E6" s="12" t="str">
        <f aca="false">INDEX('Raw Data'!$I$2:$I$670,MATCH($A6,'Raw Data'!$U$2:$U$670,0))</f>
        <v>BKK01</v>
      </c>
      <c r="F6" s="12" t="str">
        <f aca="false">INDEX('Raw Data'!$J$2:$J$670,MATCH($A6,'Raw Data'!$U$2:$U$670,0))</f>
        <v>THBKK</v>
      </c>
      <c r="G6" s="12" t="str">
        <f aca="false">INDEX('Raw Data'!$K$2:$K$670,MATCH($A6,'Raw Data'!$U$2:$U$670,0))</f>
        <v>THLCH</v>
      </c>
      <c r="H6" s="14" t="n">
        <f aca="false">INDEX('Raw Data'!$P$2:$P$670,MATCH($A6,'Raw Data'!$U$2:$U$670,0))</f>
        <v>46062.9166666667</v>
      </c>
      <c r="I6" s="14" t="n">
        <f aca="false">INDEX('Raw Data'!$Q$2:$Q$670,MATCH($A6,'Raw Data'!$U$2:$U$670,0))</f>
        <v>46065.3333333333</v>
      </c>
      <c r="J6" s="13" t="n">
        <f aca="false">INDEX('Raw Data'!$S$2:$S$670,MATCH($A6,'Raw Data'!$U$2:$U$670,0))</f>
        <v>58</v>
      </c>
    </row>
    <row r="7" customFormat="false" ht="15" hidden="false" customHeight="false" outlineLevel="0" collapsed="false">
      <c r="A7" s="12" t="n">
        <v>4</v>
      </c>
      <c r="B7" s="12" t="str">
        <f aca="false">INDEX('Raw Data'!$A$2:$A$670,MATCH($A7,'Raw Data'!$U$2:$U$670,0))</f>
        <v>CHT</v>
      </c>
      <c r="C7" s="12" t="str">
        <f aca="false">INDEX('Raw Data'!$B$2:$B$670,MATCH($A7,'Raw Data'!$U$2:$U$670,0))</f>
        <v>SWMM</v>
      </c>
      <c r="D7" s="12" t="str">
        <f aca="false">INDEX('Raw Data'!$C$2:$C$670,MATCH($A7,'Raw Data'!$U$2:$U$670,0))</f>
        <v>SAWASDEE MIMOSA</v>
      </c>
      <c r="E7" s="12" t="str">
        <f aca="false">INDEX('Raw Data'!$I$2:$I$670,MATCH($A7,'Raw Data'!$U$2:$U$670,0))</f>
        <v>LCH05</v>
      </c>
      <c r="F7" s="12" t="str">
        <f aca="false">INDEX('Raw Data'!$J$2:$J$670,MATCH($A7,'Raw Data'!$U$2:$U$670,0))</f>
        <v>THLCH</v>
      </c>
      <c r="G7" s="12" t="str">
        <f aca="false">INDEX('Raw Data'!$K$2:$K$670,MATCH($A7,'Raw Data'!$U$2:$U$670,0))</f>
        <v>HKHKG</v>
      </c>
      <c r="H7" s="14" t="n">
        <f aca="false">INDEX('Raw Data'!$P$2:$P$670,MATCH($A7,'Raw Data'!$U$2:$U$670,0))</f>
        <v>46113.7916666667</v>
      </c>
      <c r="I7" s="14" t="n">
        <f aca="false">INDEX('Raw Data'!$Q$2:$Q$670,MATCH($A7,'Raw Data'!$U$2:$U$670,0))</f>
        <v>46116.0416666667</v>
      </c>
      <c r="J7" s="13" t="n">
        <f aca="false">INDEX('Raw Data'!$S$2:$S$670,MATCH($A7,'Raw Data'!$U$2:$U$670,0))</f>
        <v>54</v>
      </c>
    </row>
    <row r="8" customFormat="false" ht="15" hidden="false" customHeight="false" outlineLevel="0" collapsed="false">
      <c r="A8" s="12" t="n">
        <v>5</v>
      </c>
      <c r="B8" s="12" t="str">
        <f aca="false">INDEX('Raw Data'!$A$2:$A$670,MATCH($A8,'Raw Data'!$U$2:$U$670,0))</f>
        <v>KHS1</v>
      </c>
      <c r="C8" s="12" t="str">
        <f aca="false">INDEX('Raw Data'!$B$2:$B$670,MATCH($A8,'Raw Data'!$U$2:$U$670,0))</f>
        <v>SWIC</v>
      </c>
      <c r="D8" s="12" t="str">
        <f aca="false">INDEX('Raw Data'!$C$2:$C$670,MATCH($A8,'Raw Data'!$U$2:$U$670,0))</f>
        <v>SAWASDEE INCHEON</v>
      </c>
      <c r="E8" s="12" t="str">
        <f aca="false">INDEX('Raw Data'!$I$2:$I$670,MATCH($A8,'Raw Data'!$U$2:$U$670,0))</f>
        <v>BKK01</v>
      </c>
      <c r="F8" s="12" t="str">
        <f aca="false">INDEX('Raw Data'!$J$2:$J$670,MATCH($A8,'Raw Data'!$U$2:$U$670,0))</f>
        <v>THBKK</v>
      </c>
      <c r="G8" s="12" t="str">
        <f aca="false">INDEX('Raw Data'!$K$2:$K$670,MATCH($A8,'Raw Data'!$U$2:$U$670,0))</f>
        <v>THLCH</v>
      </c>
      <c r="H8" s="14" t="n">
        <f aca="false">INDEX('Raw Data'!$P$2:$P$670,MATCH($A8,'Raw Data'!$U$2:$U$670,0))</f>
        <v>46231.7083333333</v>
      </c>
      <c r="I8" s="14" t="n">
        <f aca="false">INDEX('Raw Data'!$Q$2:$Q$670,MATCH($A8,'Raw Data'!$U$2:$U$670,0))</f>
        <v>46233.875</v>
      </c>
      <c r="J8" s="13" t="n">
        <f aca="false">INDEX('Raw Data'!$S$2:$S$670,MATCH($A8,'Raw Data'!$U$2:$U$670,0))</f>
        <v>52</v>
      </c>
    </row>
    <row r="9" customFormat="false" ht="15" hidden="false" customHeight="false" outlineLevel="0" collapsed="false">
      <c r="A9" s="12" t="n">
        <v>6</v>
      </c>
      <c r="B9" s="12" t="str">
        <f aca="false">INDEX('Raw Data'!$A$2:$A$670,MATCH($A9,'Raw Data'!$U$2:$U$670,0))</f>
        <v>KTS1</v>
      </c>
      <c r="C9" s="12" t="str">
        <f aca="false">INDEX('Raw Data'!$B$2:$B$670,MATCH($A9,'Raw Data'!$U$2:$U$670,0))</f>
        <v>KMTP</v>
      </c>
      <c r="D9" s="12" t="str">
        <f aca="false">INDEX('Raw Data'!$C$2:$C$670,MATCH($A9,'Raw Data'!$U$2:$U$670,0))</f>
        <v>KMTC TAIPEIS</v>
      </c>
      <c r="E9" s="12" t="str">
        <f aca="false">INDEX('Raw Data'!$I$2:$I$670,MATCH($A9,'Raw Data'!$U$2:$U$670,0))</f>
        <v>BKK01</v>
      </c>
      <c r="F9" s="12" t="str">
        <f aca="false">INDEX('Raw Data'!$J$2:$J$670,MATCH($A9,'Raw Data'!$U$2:$U$670,0))</f>
        <v>THBKK</v>
      </c>
      <c r="G9" s="12" t="str">
        <f aca="false">INDEX('Raw Data'!$K$2:$K$670,MATCH($A9,'Raw Data'!$U$2:$U$670,0))</f>
        <v>THLCH</v>
      </c>
      <c r="H9" s="14" t="n">
        <f aca="false">INDEX('Raw Data'!$P$2:$P$670,MATCH($A9,'Raw Data'!$U$2:$U$670,0))</f>
        <v>46062.2916666667</v>
      </c>
      <c r="I9" s="14" t="n">
        <f aca="false">INDEX('Raw Data'!$Q$2:$Q$670,MATCH($A9,'Raw Data'!$U$2:$U$670,0))</f>
        <v>46064.3333333333</v>
      </c>
      <c r="J9" s="13" t="n">
        <f aca="false">INDEX('Raw Data'!$S$2:$S$670,MATCH($A9,'Raw Data'!$U$2:$U$670,0))</f>
        <v>49</v>
      </c>
    </row>
    <row r="10" customFormat="false" ht="15" hidden="false" customHeight="false" outlineLevel="0" collapsed="false">
      <c r="A10" s="12" t="n">
        <v>7</v>
      </c>
      <c r="B10" s="12" t="str">
        <f aca="false">INDEX('Raw Data'!$A$2:$A$670,MATCH($A10,'Raw Data'!$U$2:$U$670,0))</f>
        <v>KST</v>
      </c>
      <c r="C10" s="12" t="str">
        <f aca="false">INDEX('Raw Data'!$B$2:$B$670,MATCH($A10,'Raw Data'!$U$2:$U$670,0))</f>
        <v>SWVG</v>
      </c>
      <c r="D10" s="12" t="str">
        <f aca="false">INDEX('Raw Data'!$C$2:$C$670,MATCH($A10,'Raw Data'!$U$2:$U$670,0))</f>
        <v>SAWASDEE VEGA</v>
      </c>
      <c r="E10" s="12" t="str">
        <f aca="false">INDEX('Raw Data'!$I$2:$I$670,MATCH($A10,'Raw Data'!$U$2:$U$670,0))</f>
        <v>LCH05</v>
      </c>
      <c r="F10" s="12" t="str">
        <f aca="false">INDEX('Raw Data'!$J$2:$J$670,MATCH($A10,'Raw Data'!$U$2:$U$670,0))</f>
        <v>THLCH</v>
      </c>
      <c r="G10" s="12" t="str">
        <f aca="false">INDEX('Raw Data'!$K$2:$K$670,MATCH($A10,'Raw Data'!$U$2:$U$670,0))</f>
        <v>THBKK</v>
      </c>
      <c r="H10" s="14" t="n">
        <f aca="false">INDEX('Raw Data'!$P$2:$P$670,MATCH($A10,'Raw Data'!$U$2:$U$670,0))</f>
        <v>46082.9583333333</v>
      </c>
      <c r="I10" s="14" t="n">
        <f aca="false">INDEX('Raw Data'!$Q$2:$Q$670,MATCH($A10,'Raw Data'!$U$2:$U$670,0))</f>
        <v>46084.9930555556</v>
      </c>
      <c r="J10" s="13" t="n">
        <f aca="false">INDEX('Raw Data'!$S$2:$S$670,MATCH($A10,'Raw Data'!$U$2:$U$670,0))</f>
        <v>48.8333</v>
      </c>
    </row>
    <row r="11" customFormat="false" ht="15" hidden="false" customHeight="false" outlineLevel="0" collapsed="false">
      <c r="A11" s="12" t="n">
        <v>8</v>
      </c>
      <c r="B11" s="12" t="str">
        <f aca="false">INDEX('Raw Data'!$A$2:$A$670,MATCH($A11,'Raw Data'!$U$2:$U$670,0))</f>
        <v>KHS1</v>
      </c>
      <c r="C11" s="12" t="str">
        <f aca="false">INDEX('Raw Data'!$B$2:$B$670,MATCH($A11,'Raw Data'!$U$2:$U$670,0))</f>
        <v>SWIC</v>
      </c>
      <c r="D11" s="12" t="str">
        <f aca="false">INDEX('Raw Data'!$C$2:$C$670,MATCH($A11,'Raw Data'!$U$2:$U$670,0))</f>
        <v>SAWASDEE INCHEON</v>
      </c>
      <c r="E11" s="12" t="str">
        <f aca="false">INDEX('Raw Data'!$I$2:$I$670,MATCH($A11,'Raw Data'!$U$2:$U$670,0))</f>
        <v>BKK01</v>
      </c>
      <c r="F11" s="12" t="str">
        <f aca="false">INDEX('Raw Data'!$J$2:$J$670,MATCH($A11,'Raw Data'!$U$2:$U$670,0))</f>
        <v>THBKK</v>
      </c>
      <c r="G11" s="12" t="str">
        <f aca="false">INDEX('Raw Data'!$K$2:$K$670,MATCH($A11,'Raw Data'!$U$2:$U$670,0))</f>
        <v>THLCH</v>
      </c>
      <c r="H11" s="14" t="n">
        <f aca="false">INDEX('Raw Data'!$P$2:$P$670,MATCH($A11,'Raw Data'!$U$2:$U$670,0))</f>
        <v>46184.7083333333</v>
      </c>
      <c r="I11" s="14" t="n">
        <f aca="false">INDEX('Raw Data'!$Q$2:$Q$670,MATCH($A11,'Raw Data'!$U$2:$U$670,0))</f>
        <v>46186.7083333333</v>
      </c>
      <c r="J11" s="13" t="n">
        <f aca="false">INDEX('Raw Data'!$S$2:$S$670,MATCH($A11,'Raw Data'!$U$2:$U$670,0))</f>
        <v>48</v>
      </c>
    </row>
    <row r="12" customFormat="false" ht="15" hidden="false" customHeight="false" outlineLevel="0" collapsed="false">
      <c r="A12" s="12" t="n">
        <v>9</v>
      </c>
      <c r="B12" s="12" t="str">
        <f aca="false">INDEX('Raw Data'!$A$2:$A$670,MATCH($A12,'Raw Data'!$U$2:$U$670,0))</f>
        <v>KHS1</v>
      </c>
      <c r="C12" s="12" t="str">
        <f aca="false">INDEX('Raw Data'!$B$2:$B$670,MATCH($A12,'Raw Data'!$U$2:$U$670,0))</f>
        <v>HAHM</v>
      </c>
      <c r="D12" s="12" t="str">
        <f aca="false">INDEX('Raw Data'!$C$2:$C$670,MATCH($A12,'Raw Data'!$U$2:$U$670,0))</f>
        <v>HEUNG-A HOCHIMINH</v>
      </c>
      <c r="E12" s="12" t="str">
        <f aca="false">INDEX('Raw Data'!$I$2:$I$670,MATCH($A12,'Raw Data'!$U$2:$U$670,0))</f>
        <v>BKK01</v>
      </c>
      <c r="F12" s="12" t="str">
        <f aca="false">INDEX('Raw Data'!$J$2:$J$670,MATCH($A12,'Raw Data'!$U$2:$U$670,0))</f>
        <v>THBKK</v>
      </c>
      <c r="G12" s="12" t="str">
        <f aca="false">INDEX('Raw Data'!$K$2:$K$670,MATCH($A12,'Raw Data'!$U$2:$U$670,0))</f>
        <v>THLCH</v>
      </c>
      <c r="H12" s="14" t="n">
        <f aca="false">INDEX('Raw Data'!$P$2:$P$670,MATCH($A12,'Raw Data'!$U$2:$U$670,0))</f>
        <v>46068.4166666667</v>
      </c>
      <c r="I12" s="14" t="n">
        <f aca="false">INDEX('Raw Data'!$Q$2:$Q$670,MATCH($A12,'Raw Data'!$U$2:$U$670,0))</f>
        <v>46070.3333333333</v>
      </c>
      <c r="J12" s="13" t="n">
        <f aca="false">INDEX('Raw Data'!$S$2:$S$670,MATCH($A12,'Raw Data'!$U$2:$U$670,0))</f>
        <v>46</v>
      </c>
    </row>
    <row r="13" customFormat="false" ht="15" hidden="false" customHeight="false" outlineLevel="0" collapsed="false">
      <c r="A13" s="12" t="n">
        <v>10</v>
      </c>
      <c r="B13" s="12" t="str">
        <f aca="false">INDEX('Raw Data'!$A$2:$A$670,MATCH($A13,'Raw Data'!$U$2:$U$670,0))</f>
        <v>BTS</v>
      </c>
      <c r="C13" s="12" t="str">
        <f aca="false">INDEX('Raw Data'!$B$2:$B$670,MATCH($A13,'Raw Data'!$U$2:$U$670,0))</f>
        <v>SWAT</v>
      </c>
      <c r="D13" s="12" t="str">
        <f aca="false">INDEX('Raw Data'!$C$2:$C$670,MATCH($A13,'Raw Data'!$U$2:$U$670,0))</f>
        <v>SAWASDEE ATLANTIC</v>
      </c>
      <c r="E13" s="12" t="str">
        <f aca="false">INDEX('Raw Data'!$I$2:$I$670,MATCH($A13,'Raw Data'!$U$2:$U$670,0))</f>
        <v>BKK04</v>
      </c>
      <c r="F13" s="12" t="str">
        <f aca="false">INDEX('Raw Data'!$J$2:$J$670,MATCH($A13,'Raw Data'!$U$2:$U$670,0))</f>
        <v>THBKK</v>
      </c>
      <c r="G13" s="12" t="str">
        <f aca="false">INDEX('Raw Data'!$K$2:$K$670,MATCH($A13,'Raw Data'!$U$2:$U$670,0))</f>
        <v>THLCH</v>
      </c>
      <c r="H13" s="14" t="n">
        <f aca="false">INDEX('Raw Data'!$P$2:$P$670,MATCH($A13,'Raw Data'!$U$2:$U$670,0))</f>
        <v>46063.5</v>
      </c>
      <c r="I13" s="14" t="n">
        <f aca="false">INDEX('Raw Data'!$Q$2:$Q$670,MATCH($A13,'Raw Data'!$U$2:$U$670,0))</f>
        <v>46065.375</v>
      </c>
      <c r="J13" s="13" t="n">
        <f aca="false">INDEX('Raw Data'!$S$2:$S$670,MATCH($A13,'Raw Data'!$U$2:$U$670,0))</f>
        <v>45</v>
      </c>
    </row>
    <row r="14" customFormat="false" ht="15" hidden="false" customHeight="false" outlineLevel="0" collapsed="false">
      <c r="A14" s="12" t="n">
        <v>11</v>
      </c>
      <c r="B14" s="12" t="str">
        <f aca="false">INDEX('Raw Data'!$A$2:$A$670,MATCH($A14,'Raw Data'!$U$2:$U$670,0))</f>
        <v>VTS</v>
      </c>
      <c r="C14" s="12" t="str">
        <f aca="false">INDEX('Raw Data'!$B$2:$B$670,MATCH($A14,'Raw Data'!$U$2:$U$670,0))</f>
        <v>KJT</v>
      </c>
      <c r="D14" s="12" t="str">
        <f aca="false">INDEX('Raw Data'!$C$2:$C$670,MATCH($A14,'Raw Data'!$U$2:$U$670,0))</f>
        <v>KMTC JAKARTA</v>
      </c>
      <c r="E14" s="12" t="str">
        <f aca="false">INDEX('Raw Data'!$I$2:$I$670,MATCH($A14,'Raw Data'!$U$2:$U$670,0))</f>
        <v>BKK01</v>
      </c>
      <c r="F14" s="12" t="str">
        <f aca="false">INDEX('Raw Data'!$J$2:$J$670,MATCH($A14,'Raw Data'!$U$2:$U$670,0))</f>
        <v>THBKK</v>
      </c>
      <c r="G14" s="12" t="str">
        <f aca="false">INDEX('Raw Data'!$K$2:$K$670,MATCH($A14,'Raw Data'!$U$2:$U$670,0))</f>
        <v>THLCH</v>
      </c>
      <c r="H14" s="14" t="n">
        <f aca="false">INDEX('Raw Data'!$P$2:$P$670,MATCH($A14,'Raw Data'!$U$2:$U$670,0))</f>
        <v>46062.25</v>
      </c>
      <c r="I14" s="14" t="n">
        <f aca="false">INDEX('Raw Data'!$Q$2:$Q$670,MATCH($A14,'Raw Data'!$U$2:$U$670,0))</f>
        <v>46063.9930555556</v>
      </c>
      <c r="J14" s="13" t="n">
        <f aca="false">INDEX('Raw Data'!$S$2:$S$670,MATCH($A14,'Raw Data'!$U$2:$U$670,0))</f>
        <v>41.8333</v>
      </c>
    </row>
    <row r="15" customFormat="false" ht="15" hidden="false" customHeight="false" outlineLevel="0" collapsed="false">
      <c r="A15" s="12" t="n">
        <v>12</v>
      </c>
      <c r="B15" s="12" t="str">
        <f aca="false">INDEX('Raw Data'!$A$2:$A$670,MATCH($A15,'Raw Data'!$U$2:$U$670,0))</f>
        <v>KST</v>
      </c>
      <c r="C15" s="12" t="str">
        <f aca="false">INDEX('Raw Data'!$B$2:$B$670,MATCH($A15,'Raw Data'!$U$2:$U$670,0))</f>
        <v>PCCP</v>
      </c>
      <c r="D15" s="12" t="str">
        <f aca="false">INDEX('Raw Data'!$C$2:$C$670,MATCH($A15,'Raw Data'!$U$2:$U$670,0))</f>
        <v>PANCON CHAMPION</v>
      </c>
      <c r="E15" s="12" t="str">
        <f aca="false">INDEX('Raw Data'!$I$2:$I$670,MATCH($A15,'Raw Data'!$U$2:$U$670,0))</f>
        <v>LCH05</v>
      </c>
      <c r="F15" s="12" t="str">
        <f aca="false">INDEX('Raw Data'!$J$2:$J$670,MATCH($A15,'Raw Data'!$U$2:$U$670,0))</f>
        <v>THLCH</v>
      </c>
      <c r="G15" s="12" t="str">
        <f aca="false">INDEX('Raw Data'!$K$2:$K$670,MATCH($A15,'Raw Data'!$U$2:$U$670,0))</f>
        <v>VNSGN</v>
      </c>
      <c r="H15" s="14" t="n">
        <f aca="false">INDEX('Raw Data'!$P$2:$P$670,MATCH($A15,'Raw Data'!$U$2:$U$670,0))</f>
        <v>46227.7083333333</v>
      </c>
      <c r="I15" s="14" t="n">
        <f aca="false">INDEX('Raw Data'!$Q$2:$Q$670,MATCH($A15,'Raw Data'!$U$2:$U$670,0))</f>
        <v>46229.4131944445</v>
      </c>
      <c r="J15" s="13" t="n">
        <f aca="false">INDEX('Raw Data'!$S$2:$S$670,MATCH($A15,'Raw Data'!$U$2:$U$670,0))</f>
        <v>40.9167</v>
      </c>
    </row>
    <row r="16" customFormat="false" ht="15" hidden="false" customHeight="false" outlineLevel="0" collapsed="false">
      <c r="A16" s="12" t="n">
        <v>13</v>
      </c>
      <c r="B16" s="12" t="str">
        <f aca="false">INDEX('Raw Data'!$A$2:$A$670,MATCH($A16,'Raw Data'!$U$2:$U$670,0))</f>
        <v>BTS</v>
      </c>
      <c r="C16" s="12" t="str">
        <f aca="false">INDEX('Raw Data'!$B$2:$B$670,MATCH($A16,'Raw Data'!$U$2:$U$670,0))</f>
        <v>SWAT</v>
      </c>
      <c r="D16" s="12" t="str">
        <f aca="false">INDEX('Raw Data'!$C$2:$C$670,MATCH($A16,'Raw Data'!$U$2:$U$670,0))</f>
        <v>SAWASDEE ATLANTIC</v>
      </c>
      <c r="E16" s="12" t="str">
        <f aca="false">INDEX('Raw Data'!$I$2:$I$670,MATCH($A16,'Raw Data'!$U$2:$U$670,0))</f>
        <v>LCH01</v>
      </c>
      <c r="F16" s="12" t="str">
        <f aca="false">INDEX('Raw Data'!$J$2:$J$670,MATCH($A16,'Raw Data'!$U$2:$U$670,0))</f>
        <v>THLCH</v>
      </c>
      <c r="G16" s="12" t="str">
        <f aca="false">INDEX('Raw Data'!$K$2:$K$670,MATCH($A16,'Raw Data'!$U$2:$U$670,0))</f>
        <v>VNSGN</v>
      </c>
      <c r="H16" s="14" t="n">
        <f aca="false">INDEX('Raw Data'!$P$2:$P$670,MATCH($A16,'Raw Data'!$U$2:$U$670,0))</f>
        <v>46066.5</v>
      </c>
      <c r="I16" s="14" t="n">
        <f aca="false">INDEX('Raw Data'!$Q$2:$Q$670,MATCH($A16,'Raw Data'!$U$2:$U$670,0))</f>
        <v>46068.1666666667</v>
      </c>
      <c r="J16" s="13" t="n">
        <f aca="false">INDEX('Raw Data'!$S$2:$S$670,MATCH($A16,'Raw Data'!$U$2:$U$670,0))</f>
        <v>40</v>
      </c>
    </row>
    <row r="17" customFormat="false" ht="15" hidden="false" customHeight="false" outlineLevel="0" collapsed="false">
      <c r="A17" s="12" t="n">
        <v>14</v>
      </c>
      <c r="B17" s="12" t="str">
        <f aca="false">INDEX('Raw Data'!$A$2:$A$670,MATCH($A17,'Raw Data'!$U$2:$U$670,0))</f>
        <v>KTS1</v>
      </c>
      <c r="C17" s="12" t="str">
        <f aca="false">INDEX('Raw Data'!$B$2:$B$670,MATCH($A17,'Raw Data'!$U$2:$U$670,0))</f>
        <v>CMA</v>
      </c>
      <c r="D17" s="12" t="str">
        <f aca="false">INDEX('Raw Data'!$C$2:$C$670,MATCH($A17,'Raw Data'!$U$2:$U$670,0))</f>
        <v>CA MANILA</v>
      </c>
      <c r="E17" s="12" t="str">
        <f aca="false">INDEX('Raw Data'!$I$2:$I$670,MATCH($A17,'Raw Data'!$U$2:$U$670,0))</f>
        <v>BKK01</v>
      </c>
      <c r="F17" s="12" t="str">
        <f aca="false">INDEX('Raw Data'!$J$2:$J$670,MATCH($A17,'Raw Data'!$U$2:$U$670,0))</f>
        <v>THBKK</v>
      </c>
      <c r="G17" s="12" t="str">
        <f aca="false">INDEX('Raw Data'!$K$2:$K$670,MATCH($A17,'Raw Data'!$U$2:$U$670,0))</f>
        <v>THLCH</v>
      </c>
      <c r="H17" s="14" t="n">
        <f aca="false">INDEX('Raw Data'!$P$2:$P$670,MATCH($A17,'Raw Data'!$U$2:$U$670,0))</f>
        <v>46231.2375</v>
      </c>
      <c r="I17" s="14" t="n">
        <f aca="false">INDEX('Raw Data'!$Q$2:$Q$670,MATCH($A17,'Raw Data'!$U$2:$U$670,0))</f>
        <v>46232.7916666667</v>
      </c>
      <c r="J17" s="13" t="n">
        <f aca="false">INDEX('Raw Data'!$S$2:$S$670,MATCH($A17,'Raw Data'!$U$2:$U$670,0))</f>
        <v>37.3</v>
      </c>
    </row>
    <row r="18" customFormat="false" ht="15" hidden="false" customHeight="false" outlineLevel="0" collapsed="false">
      <c r="A18" s="12" t="n">
        <v>15</v>
      </c>
      <c r="B18" s="12" t="str">
        <f aca="false">INDEX('Raw Data'!$A$2:$A$670,MATCH($A18,'Raw Data'!$U$2:$U$670,0))</f>
        <v>CHT</v>
      </c>
      <c r="C18" s="12" t="str">
        <f aca="false">INDEX('Raw Data'!$B$2:$B$670,MATCH($A18,'Raw Data'!$U$2:$U$670,0))</f>
        <v>TSNA</v>
      </c>
      <c r="D18" s="12" t="str">
        <f aca="false">INDEX('Raw Data'!$C$2:$C$670,MATCH($A18,'Raw Data'!$U$2:$U$670,0))</f>
        <v>TS TIANJIN</v>
      </c>
      <c r="E18" s="12" t="str">
        <f aca="false">INDEX('Raw Data'!$I$2:$I$670,MATCH($A18,'Raw Data'!$U$2:$U$670,0))</f>
        <v>BKK04</v>
      </c>
      <c r="F18" s="12" t="str">
        <f aca="false">INDEX('Raw Data'!$J$2:$J$670,MATCH($A18,'Raw Data'!$U$2:$U$670,0))</f>
        <v>THBKK</v>
      </c>
      <c r="G18" s="12" t="str">
        <f aca="false">INDEX('Raw Data'!$K$2:$K$670,MATCH($A18,'Raw Data'!$U$2:$U$670,0))</f>
        <v>THLCH</v>
      </c>
      <c r="H18" s="14" t="n">
        <f aca="false">INDEX('Raw Data'!$P$2:$P$670,MATCH($A18,'Raw Data'!$U$2:$U$670,0))</f>
        <v>46092.8333333333</v>
      </c>
      <c r="I18" s="14" t="n">
        <f aca="false">INDEX('Raw Data'!$Q$2:$Q$670,MATCH($A18,'Raw Data'!$U$2:$U$670,0))</f>
        <v>46094.3333333333</v>
      </c>
      <c r="J18" s="13" t="n">
        <f aca="false">INDEX('Raw Data'!$S$2:$S$670,MATCH($A18,'Raw Data'!$U$2:$U$670,0))</f>
        <v>36</v>
      </c>
    </row>
    <row r="19" customFormat="false" ht="15" hidden="false" customHeight="false" outlineLevel="0" collapsed="false">
      <c r="A19" s="12" t="n">
        <v>16</v>
      </c>
      <c r="B19" s="12" t="str">
        <f aca="false">INDEX('Raw Data'!$A$2:$A$670,MATCH($A19,'Raw Data'!$U$2:$U$670,0))</f>
        <v>KHS1</v>
      </c>
      <c r="C19" s="12" t="str">
        <f aca="false">INDEX('Raw Data'!$B$2:$B$670,MATCH($A19,'Raw Data'!$U$2:$U$670,0))</f>
        <v>HAHM</v>
      </c>
      <c r="D19" s="12" t="str">
        <f aca="false">INDEX('Raw Data'!$C$2:$C$670,MATCH($A19,'Raw Data'!$U$2:$U$670,0))</f>
        <v>HEUNG-A HOCHIMINH</v>
      </c>
      <c r="E19" s="12" t="str">
        <f aca="false">INDEX('Raw Data'!$I$2:$I$670,MATCH($A19,'Raw Data'!$U$2:$U$670,0))</f>
        <v>BKK01</v>
      </c>
      <c r="F19" s="12" t="str">
        <f aca="false">INDEX('Raw Data'!$J$2:$J$670,MATCH($A19,'Raw Data'!$U$2:$U$670,0))</f>
        <v>THBKK</v>
      </c>
      <c r="G19" s="12" t="str">
        <f aca="false">INDEX('Raw Data'!$K$2:$K$670,MATCH($A19,'Raw Data'!$U$2:$U$670,0))</f>
        <v>THLCH</v>
      </c>
      <c r="H19" s="14" t="n">
        <f aca="false">INDEX('Raw Data'!$P$2:$P$670,MATCH($A19,'Raw Data'!$U$2:$U$670,0))</f>
        <v>46091.5833333333</v>
      </c>
      <c r="I19" s="14" t="n">
        <f aca="false">INDEX('Raw Data'!$Q$2:$Q$670,MATCH($A19,'Raw Data'!$U$2:$U$670,0))</f>
        <v>46093</v>
      </c>
      <c r="J19" s="13" t="n">
        <f aca="false">INDEX('Raw Data'!$S$2:$S$670,MATCH($A19,'Raw Data'!$U$2:$U$670,0))</f>
        <v>34</v>
      </c>
    </row>
    <row r="20" customFormat="false" ht="15" hidden="false" customHeight="false" outlineLevel="0" collapsed="false">
      <c r="A20" s="12" t="n">
        <v>17</v>
      </c>
      <c r="B20" s="12" t="str">
        <f aca="false">INDEX('Raw Data'!$A$2:$A$670,MATCH($A20,'Raw Data'!$U$2:$U$670,0))</f>
        <v>KHS1</v>
      </c>
      <c r="C20" s="12" t="str">
        <f aca="false">INDEX('Raw Data'!$B$2:$B$670,MATCH($A20,'Raw Data'!$U$2:$U$670,0))</f>
        <v>KPN</v>
      </c>
      <c r="D20" s="12" t="str">
        <f aca="false">INDEX('Raw Data'!$C$2:$C$670,MATCH($A20,'Raw Data'!$U$2:$U$670,0))</f>
        <v>KMTC PUSAN</v>
      </c>
      <c r="E20" s="12" t="str">
        <f aca="false">INDEX('Raw Data'!$I$2:$I$670,MATCH($A20,'Raw Data'!$U$2:$U$670,0))</f>
        <v>BKK01</v>
      </c>
      <c r="F20" s="12" t="str">
        <f aca="false">INDEX('Raw Data'!$J$2:$J$670,MATCH($A20,'Raw Data'!$U$2:$U$670,0))</f>
        <v>THBKK</v>
      </c>
      <c r="G20" s="12" t="str">
        <f aca="false">INDEX('Raw Data'!$K$2:$K$670,MATCH($A20,'Raw Data'!$U$2:$U$670,0))</f>
        <v>THLCH</v>
      </c>
      <c r="H20" s="14" t="n">
        <f aca="false">INDEX('Raw Data'!$P$2:$P$670,MATCH($A20,'Raw Data'!$U$2:$U$670,0))</f>
        <v>46100.875</v>
      </c>
      <c r="I20" s="14" t="n">
        <f aca="false">INDEX('Raw Data'!$Q$2:$Q$670,MATCH($A20,'Raw Data'!$U$2:$U$670,0))</f>
        <v>46102.2916666667</v>
      </c>
      <c r="J20" s="13" t="n">
        <f aca="false">INDEX('Raw Data'!$S$2:$S$670,MATCH($A20,'Raw Data'!$U$2:$U$670,0))</f>
        <v>34</v>
      </c>
    </row>
    <row r="21" customFormat="false" ht="15" hidden="false" customHeight="false" outlineLevel="0" collapsed="false">
      <c r="A21" s="12" t="n">
        <v>18</v>
      </c>
      <c r="B21" s="12" t="str">
        <f aca="false">INDEX('Raw Data'!$A$2:$A$670,MATCH($A21,'Raw Data'!$U$2:$U$670,0))</f>
        <v>VTS</v>
      </c>
      <c r="C21" s="12" t="str">
        <f aca="false">INDEX('Raw Data'!$B$2:$B$670,MATCH($A21,'Raw Data'!$U$2:$U$670,0))</f>
        <v>SWSR</v>
      </c>
      <c r="D21" s="12" t="str">
        <f aca="false">INDEX('Raw Data'!$C$2:$C$670,MATCH($A21,'Raw Data'!$U$2:$U$670,0))</f>
        <v>SAWASDEE SUNRISE</v>
      </c>
      <c r="E21" s="12" t="str">
        <f aca="false">INDEX('Raw Data'!$I$2:$I$670,MATCH($A21,'Raw Data'!$U$2:$U$670,0))</f>
        <v>BKK01</v>
      </c>
      <c r="F21" s="12" t="str">
        <f aca="false">INDEX('Raw Data'!$J$2:$J$670,MATCH($A21,'Raw Data'!$U$2:$U$670,0))</f>
        <v>THBKK</v>
      </c>
      <c r="G21" s="12" t="str">
        <f aca="false">INDEX('Raw Data'!$K$2:$K$670,MATCH($A21,'Raw Data'!$U$2:$U$670,0))</f>
        <v>THLCH</v>
      </c>
      <c r="H21" s="14" t="n">
        <f aca="false">INDEX('Raw Data'!$P$2:$P$670,MATCH($A21,'Raw Data'!$U$2:$U$670,0))</f>
        <v>46100.4166666667</v>
      </c>
      <c r="I21" s="14" t="n">
        <f aca="false">INDEX('Raw Data'!$Q$2:$Q$670,MATCH($A21,'Raw Data'!$U$2:$U$670,0))</f>
        <v>46101.7458333333</v>
      </c>
      <c r="J21" s="13" t="n">
        <f aca="false">INDEX('Raw Data'!$S$2:$S$670,MATCH($A21,'Raw Data'!$U$2:$U$670,0))</f>
        <v>31.9</v>
      </c>
    </row>
    <row r="22" customFormat="false" ht="15" hidden="false" customHeight="false" outlineLevel="0" collapsed="false">
      <c r="A22" s="12" t="n">
        <v>19</v>
      </c>
      <c r="B22" s="12" t="str">
        <f aca="false">INDEX('Raw Data'!$A$2:$A$670,MATCH($A22,'Raw Data'!$U$2:$U$670,0))</f>
        <v>KTS1</v>
      </c>
      <c r="C22" s="12" t="str">
        <f aca="false">INDEX('Raw Data'!$B$2:$B$670,MATCH($A22,'Raw Data'!$U$2:$U$670,0))</f>
        <v>SWBT</v>
      </c>
      <c r="D22" s="12" t="str">
        <f aca="false">INDEX('Raw Data'!$C$2:$C$670,MATCH($A22,'Raw Data'!$U$2:$U$670,0))</f>
        <v>SAWASDEE BALTIC</v>
      </c>
      <c r="E22" s="12" t="str">
        <f aca="false">INDEX('Raw Data'!$I$2:$I$670,MATCH($A22,'Raw Data'!$U$2:$U$670,0))</f>
        <v>BKK01</v>
      </c>
      <c r="F22" s="12" t="str">
        <f aca="false">INDEX('Raw Data'!$J$2:$J$670,MATCH($A22,'Raw Data'!$U$2:$U$670,0))</f>
        <v>THBKK</v>
      </c>
      <c r="G22" s="12" t="str">
        <f aca="false">INDEX('Raw Data'!$K$2:$K$670,MATCH($A22,'Raw Data'!$U$2:$U$670,0))</f>
        <v>THLCH</v>
      </c>
      <c r="H22" s="14" t="n">
        <f aca="false">INDEX('Raw Data'!$P$2:$P$670,MATCH($A22,'Raw Data'!$U$2:$U$670,0))</f>
        <v>46101.5416666667</v>
      </c>
      <c r="I22" s="14" t="n">
        <f aca="false">INDEX('Raw Data'!$Q$2:$Q$670,MATCH($A22,'Raw Data'!$U$2:$U$670,0))</f>
        <v>46102.8333333333</v>
      </c>
      <c r="J22" s="13" t="n">
        <f aca="false">INDEX('Raw Data'!$S$2:$S$670,MATCH($A22,'Raw Data'!$U$2:$U$670,0))</f>
        <v>31</v>
      </c>
    </row>
    <row r="23" customFormat="false" ht="15" hidden="false" customHeight="false" outlineLevel="0" collapsed="false">
      <c r="A23" s="12" t="n">
        <v>20</v>
      </c>
      <c r="B23" s="12" t="str">
        <f aca="false">INDEX('Raw Data'!$A$2:$A$670,MATCH($A23,'Raw Data'!$U$2:$U$670,0))</f>
        <v>KTS1</v>
      </c>
      <c r="C23" s="12" t="str">
        <f aca="false">INDEX('Raw Data'!$B$2:$B$670,MATCH($A23,'Raw Data'!$U$2:$U$670,0))</f>
        <v>KMGY</v>
      </c>
      <c r="D23" s="12" t="str">
        <f aca="false">INDEX('Raw Data'!$C$2:$C$670,MATCH($A23,'Raw Data'!$U$2:$U$670,0))</f>
        <v>KMTC GWANGYANG</v>
      </c>
      <c r="E23" s="12" t="str">
        <f aca="false">INDEX('Raw Data'!$I$2:$I$670,MATCH($A23,'Raw Data'!$U$2:$U$670,0))</f>
        <v>BKK01</v>
      </c>
      <c r="F23" s="12" t="str">
        <f aca="false">INDEX('Raw Data'!$J$2:$J$670,MATCH($A23,'Raw Data'!$U$2:$U$670,0))</f>
        <v>THBKK</v>
      </c>
      <c r="G23" s="12" t="str">
        <f aca="false">INDEX('Raw Data'!$K$2:$K$670,MATCH($A23,'Raw Data'!$U$2:$U$670,0))</f>
        <v>THLCH</v>
      </c>
      <c r="H23" s="14" t="n">
        <f aca="false">INDEX('Raw Data'!$P$2:$P$670,MATCH($A23,'Raw Data'!$U$2:$U$670,0))</f>
        <v>46024.125</v>
      </c>
      <c r="I23" s="14" t="n">
        <f aca="false">INDEX('Raw Data'!$Q$2:$Q$670,MATCH($A23,'Raw Data'!$U$2:$U$670,0))</f>
        <v>46025.375</v>
      </c>
      <c r="J23" s="13" t="n">
        <f aca="false">INDEX('Raw Data'!$S$2:$S$670,MATCH($A23,'Raw Data'!$U$2:$U$670,0))</f>
        <v>30</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7" min="1" style="0" width="12"/>
  </cols>
  <sheetData>
    <row r="1" customFormat="false" ht="17.35" hidden="false" customHeight="false" outlineLevel="0" collapsed="false">
      <c r="A1" s="1" t="s">
        <v>79</v>
      </c>
      <c r="B1" s="1"/>
      <c r="C1" s="1"/>
      <c r="D1" s="1"/>
      <c r="E1" s="1"/>
      <c r="F1" s="1"/>
      <c r="G1" s="1"/>
    </row>
    <row r="3" customFormat="false" ht="15" hidden="false" customHeight="false" outlineLevel="0" collapsed="false">
      <c r="A3" s="4" t="s">
        <v>3</v>
      </c>
      <c r="B3" s="4" t="s">
        <v>80</v>
      </c>
      <c r="C3" s="4" t="s">
        <v>81</v>
      </c>
      <c r="D3" s="4" t="s">
        <v>82</v>
      </c>
      <c r="E3" s="4" t="s">
        <v>83</v>
      </c>
      <c r="F3" s="4" t="s">
        <v>84</v>
      </c>
      <c r="G3" s="4" t="s">
        <v>85</v>
      </c>
    </row>
    <row r="4" customFormat="false" ht="15" hidden="false" customHeight="false" outlineLevel="0" collapsed="false">
      <c r="A4" s="5" t="s">
        <v>12</v>
      </c>
      <c r="B4" s="5" t="n">
        <f aca="false">COUNTIFS('Raw Data'!$J$2:$J$670,$A4,'Raw Data'!$S$2:$S$670,"&gt;="&amp;0,'Raw Data'!$S$2:$S$670,"&lt;="&amp;1)</f>
        <v>18</v>
      </c>
      <c r="C4" s="5" t="n">
        <f aca="false">COUNTIFS('Raw Data'!$J$2:$J$670,$A4,'Raw Data'!$S$2:$S$670,"&gt;"&amp;1,'Raw Data'!$S$2:$S$670,"&lt;="&amp;2)</f>
        <v>22</v>
      </c>
      <c r="D4" s="5" t="n">
        <f aca="false">COUNTIFS('Raw Data'!$J$2:$J$670,$A4,'Raw Data'!$S$2:$S$670,"&gt;"&amp;2,'Raw Data'!$S$2:$S$670,"&lt;="&amp;4)</f>
        <v>38</v>
      </c>
      <c r="E4" s="5" t="n">
        <f aca="false">COUNTIFS('Raw Data'!$J$2:$J$670,$A4,'Raw Data'!$S$2:$S$670,"&gt;"&amp;4,'Raw Data'!$S$2:$S$670,"&lt;="&amp;8)</f>
        <v>26</v>
      </c>
      <c r="F4" s="5" t="n">
        <f aca="false">COUNTIFS('Raw Data'!$J$2:$J$670,$A4,'Raw Data'!$S$2:$S$670,"&gt;"&amp;8,'Raw Data'!$S$2:$S$670,"&lt;="&amp;24)</f>
        <v>83</v>
      </c>
      <c r="G4" s="5" t="n">
        <f aca="false">COUNTIFS('Raw Data'!$J$2:$J$670,$A4,'Raw Data'!$S$2:$S$670,"&gt;"&amp;24)</f>
        <v>22</v>
      </c>
    </row>
    <row r="5" customFormat="false" ht="15" hidden="false" customHeight="false" outlineLevel="0" collapsed="false">
      <c r="A5" s="8" t="s">
        <v>13</v>
      </c>
      <c r="B5" s="8" t="n">
        <f aca="false">COUNTIFS('Raw Data'!$J$2:$J$670,$A5,'Raw Data'!$S$2:$S$670,"&gt;="&amp;0,'Raw Data'!$S$2:$S$670,"&lt;="&amp;1)</f>
        <v>284</v>
      </c>
      <c r="C5" s="8" t="n">
        <f aca="false">COUNTIFS('Raw Data'!$J$2:$J$670,$A5,'Raw Data'!$S$2:$S$670,"&gt;"&amp;1,'Raw Data'!$S$2:$S$670,"&lt;="&amp;2)</f>
        <v>30</v>
      </c>
      <c r="D5" s="8" t="n">
        <f aca="false">COUNTIFS('Raw Data'!$J$2:$J$670,$A5,'Raw Data'!$S$2:$S$670,"&gt;"&amp;2,'Raw Data'!$S$2:$S$670,"&lt;="&amp;4)</f>
        <v>32</v>
      </c>
      <c r="E5" s="8" t="n">
        <f aca="false">COUNTIFS('Raw Data'!$J$2:$J$670,$A5,'Raw Data'!$S$2:$S$670,"&gt;"&amp;4,'Raw Data'!$S$2:$S$670,"&lt;="&amp;8)</f>
        <v>49</v>
      </c>
      <c r="F5" s="8" t="n">
        <f aca="false">COUNTIFS('Raw Data'!$J$2:$J$670,$A5,'Raw Data'!$S$2:$S$670,"&gt;"&amp;8,'Raw Data'!$S$2:$S$670,"&lt;="&amp;24)</f>
        <v>53</v>
      </c>
      <c r="G5" s="8" t="n">
        <f aca="false">COUNTIFS('Raw Data'!$J$2:$J$670,$A5,'Raw Data'!$S$2:$S$670,"&gt;"&amp;24)</f>
        <v>12</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6" min="1" style="0" width="17"/>
  </cols>
  <sheetData>
    <row r="1" customFormat="false" ht="17.35" hidden="false" customHeight="false" outlineLevel="0" collapsed="false">
      <c r="A1" s="1" t="s">
        <v>86</v>
      </c>
      <c r="B1" s="1"/>
      <c r="C1" s="1"/>
      <c r="D1" s="1"/>
      <c r="E1" s="1"/>
      <c r="F1" s="1"/>
      <c r="G1" s="1"/>
      <c r="H1" s="1"/>
    </row>
    <row r="3" customFormat="false" ht="15" hidden="false" customHeight="false" outlineLevel="0" collapsed="false">
      <c r="A3" s="3" t="s">
        <v>87</v>
      </c>
    </row>
    <row r="4" customFormat="false" ht="27.75" hidden="false" customHeight="true" outlineLevel="0" collapsed="false">
      <c r="A4" s="2" t="s">
        <v>88</v>
      </c>
      <c r="B4" s="2"/>
      <c r="C4" s="2"/>
      <c r="D4" s="2"/>
      <c r="E4" s="2"/>
      <c r="F4" s="2"/>
      <c r="G4" s="2"/>
      <c r="H4" s="2"/>
    </row>
    <row r="6" customFormat="false" ht="15" hidden="false" customHeight="false" outlineLevel="0" collapsed="false">
      <c r="A6" s="4" t="s">
        <v>89</v>
      </c>
      <c r="B6" s="4" t="s">
        <v>90</v>
      </c>
      <c r="C6" s="4" t="s">
        <v>91</v>
      </c>
      <c r="D6" s="4" t="s">
        <v>60</v>
      </c>
      <c r="E6" s="4" t="s">
        <v>61</v>
      </c>
    </row>
    <row r="7" customFormat="false" ht="15" hidden="false" customHeight="false" outlineLevel="0" collapsed="false">
      <c r="A7" s="12" t="s">
        <v>92</v>
      </c>
      <c r="B7" s="15" t="n">
        <f aca="false">COUNTIFS('Raw Data'!$Y$2:$Y$670,0,'Raw Data'!$J$2:$J$670,"THBKK")/COUNTIF('Raw Data'!$J$2:$J$670,"THBKK")</f>
        <v>0.0191387559808612</v>
      </c>
      <c r="C7" s="15" t="n">
        <f aca="false">COUNTIFS('Raw Data'!$Y$2:$Y$670,0,'Raw Data'!$J$2:$J$670,"THLCH")/COUNTIF('Raw Data'!$J$2:$J$670,"THLCH")</f>
        <v>0.0478260869565217</v>
      </c>
      <c r="D7" s="12" t="n">
        <f aca="false">COUNTIFS('Raw Data'!$Y$2:$Y$670,0,'Raw Data'!$J$2:$J$670,"THBKK")</f>
        <v>4</v>
      </c>
      <c r="E7" s="12" t="n">
        <f aca="false">COUNTIFS('Raw Data'!$Y$2:$Y$670,0,'Raw Data'!$J$2:$J$670,"THLCH")</f>
        <v>22</v>
      </c>
    </row>
    <row r="8" customFormat="false" ht="15" hidden="false" customHeight="false" outlineLevel="0" collapsed="false">
      <c r="A8" s="12" t="s">
        <v>93</v>
      </c>
      <c r="B8" s="15" t="n">
        <f aca="false">COUNTIFS('Raw Data'!$Y$2:$Y$670,1,'Raw Data'!$J$2:$J$670,"THBKK")/COUNTIF('Raw Data'!$J$2:$J$670,"THBKK")</f>
        <v>0.0334928229665072</v>
      </c>
      <c r="C8" s="15" t="n">
        <f aca="false">COUNTIFS('Raw Data'!$Y$2:$Y$670,1,'Raw Data'!$J$2:$J$670,"THLCH")/COUNTIF('Raw Data'!$J$2:$J$670,"THLCH")</f>
        <v>0.05</v>
      </c>
      <c r="D8" s="12" t="n">
        <f aca="false">COUNTIFS('Raw Data'!$Y$2:$Y$670,1,'Raw Data'!$J$2:$J$670,"THBKK")</f>
        <v>7</v>
      </c>
      <c r="E8" s="12" t="n">
        <f aca="false">COUNTIFS('Raw Data'!$Y$2:$Y$670,1,'Raw Data'!$J$2:$J$670,"THLCH")</f>
        <v>23</v>
      </c>
    </row>
    <row r="9" customFormat="false" ht="15" hidden="false" customHeight="false" outlineLevel="0" collapsed="false">
      <c r="A9" s="12" t="s">
        <v>94</v>
      </c>
      <c r="B9" s="15" t="n">
        <f aca="false">COUNTIFS('Raw Data'!$Y$2:$Y$670,2,'Raw Data'!$J$2:$J$670,"THBKK")/COUNTIF('Raw Data'!$J$2:$J$670,"THBKK")</f>
        <v>0.0191387559808612</v>
      </c>
      <c r="C9" s="15" t="n">
        <f aca="false">COUNTIFS('Raw Data'!$Y$2:$Y$670,2,'Raw Data'!$J$2:$J$670,"THLCH")/COUNTIF('Raw Data'!$J$2:$J$670,"THLCH")</f>
        <v>0.0282608695652174</v>
      </c>
      <c r="D9" s="12" t="n">
        <f aca="false">COUNTIFS('Raw Data'!$Y$2:$Y$670,2,'Raw Data'!$J$2:$J$670,"THBKK")</f>
        <v>4</v>
      </c>
      <c r="E9" s="12" t="n">
        <f aca="false">COUNTIFS('Raw Data'!$Y$2:$Y$670,2,'Raw Data'!$J$2:$J$670,"THLCH")</f>
        <v>13</v>
      </c>
    </row>
    <row r="10" customFormat="false" ht="15" hidden="false" customHeight="false" outlineLevel="0" collapsed="false">
      <c r="A10" s="12" t="s">
        <v>95</v>
      </c>
      <c r="B10" s="15" t="n">
        <f aca="false">COUNTIFS('Raw Data'!$Y$2:$Y$670,3,'Raw Data'!$J$2:$J$670,"THBKK")/COUNTIF('Raw Data'!$J$2:$J$670,"THBKK")</f>
        <v>0.0239234449760766</v>
      </c>
      <c r="C10" s="15" t="n">
        <f aca="false">COUNTIFS('Raw Data'!$Y$2:$Y$670,3,'Raw Data'!$J$2:$J$670,"THLCH")/COUNTIF('Raw Data'!$J$2:$J$670,"THLCH")</f>
        <v>0.0304347826086957</v>
      </c>
      <c r="D10" s="12" t="n">
        <f aca="false">COUNTIFS('Raw Data'!$Y$2:$Y$670,3,'Raw Data'!$J$2:$J$670,"THBKK")</f>
        <v>5</v>
      </c>
      <c r="E10" s="12" t="n">
        <f aca="false">COUNTIFS('Raw Data'!$Y$2:$Y$670,3,'Raw Data'!$J$2:$J$670,"THLCH")</f>
        <v>14</v>
      </c>
    </row>
    <row r="11" customFormat="false" ht="15" hidden="false" customHeight="false" outlineLevel="0" collapsed="false">
      <c r="A11" s="12" t="s">
        <v>96</v>
      </c>
      <c r="B11" s="15" t="n">
        <f aca="false">COUNTIFS('Raw Data'!$Y$2:$Y$670,4,'Raw Data'!$J$2:$J$670,"THBKK")/COUNTIF('Raw Data'!$J$2:$J$670,"THBKK")</f>
        <v>0.0191387559808612</v>
      </c>
      <c r="C11" s="15" t="n">
        <f aca="false">COUNTIFS('Raw Data'!$Y$2:$Y$670,4,'Raw Data'!$J$2:$J$670,"THLCH")/COUNTIF('Raw Data'!$J$2:$J$670,"THLCH")</f>
        <v>0.0456521739130435</v>
      </c>
      <c r="D11" s="12" t="n">
        <f aca="false">COUNTIFS('Raw Data'!$Y$2:$Y$670,4,'Raw Data'!$J$2:$J$670,"THBKK")</f>
        <v>4</v>
      </c>
      <c r="E11" s="12" t="n">
        <f aca="false">COUNTIFS('Raw Data'!$Y$2:$Y$670,4,'Raw Data'!$J$2:$J$670,"THLCH")</f>
        <v>21</v>
      </c>
    </row>
    <row r="12" customFormat="false" ht="15" hidden="false" customHeight="false" outlineLevel="0" collapsed="false">
      <c r="A12" s="12" t="s">
        <v>97</v>
      </c>
      <c r="B12" s="15" t="n">
        <f aca="false">COUNTIFS('Raw Data'!$Y$2:$Y$670,5,'Raw Data'!$J$2:$J$670,"THBKK")/COUNTIF('Raw Data'!$J$2:$J$670,"THBKK")</f>
        <v>0.0430622009569378</v>
      </c>
      <c r="C12" s="15" t="n">
        <f aca="false">COUNTIFS('Raw Data'!$Y$2:$Y$670,5,'Raw Data'!$J$2:$J$670,"THLCH")/COUNTIF('Raw Data'!$J$2:$J$670,"THLCH")</f>
        <v>0.05</v>
      </c>
      <c r="D12" s="12" t="n">
        <f aca="false">COUNTIFS('Raw Data'!$Y$2:$Y$670,5,'Raw Data'!$J$2:$J$670,"THBKK")</f>
        <v>9</v>
      </c>
      <c r="E12" s="12" t="n">
        <f aca="false">COUNTIFS('Raw Data'!$Y$2:$Y$670,5,'Raw Data'!$J$2:$J$670,"THLCH")</f>
        <v>23</v>
      </c>
    </row>
    <row r="13" customFormat="false" ht="15" hidden="false" customHeight="false" outlineLevel="0" collapsed="false">
      <c r="A13" s="12" t="s">
        <v>98</v>
      </c>
      <c r="B13" s="15" t="n">
        <f aca="false">COUNTIFS('Raw Data'!$Y$2:$Y$670,6,'Raw Data'!$J$2:$J$670,"THBKK")/COUNTIF('Raw Data'!$J$2:$J$670,"THBKK")</f>
        <v>0.0382775119617225</v>
      </c>
      <c r="C13" s="15" t="n">
        <f aca="false">COUNTIFS('Raw Data'!$Y$2:$Y$670,6,'Raw Data'!$J$2:$J$670,"THLCH")/COUNTIF('Raw Data'!$J$2:$J$670,"THLCH")</f>
        <v>0.0369565217391304</v>
      </c>
      <c r="D13" s="12" t="n">
        <f aca="false">COUNTIFS('Raw Data'!$Y$2:$Y$670,6,'Raw Data'!$J$2:$J$670,"THBKK")</f>
        <v>8</v>
      </c>
      <c r="E13" s="12" t="n">
        <f aca="false">COUNTIFS('Raw Data'!$Y$2:$Y$670,6,'Raw Data'!$J$2:$J$670,"THLCH")</f>
        <v>17</v>
      </c>
    </row>
    <row r="14" customFormat="false" ht="15" hidden="false" customHeight="false" outlineLevel="0" collapsed="false">
      <c r="A14" s="12" t="s">
        <v>99</v>
      </c>
      <c r="B14" s="15" t="n">
        <f aca="false">COUNTIFS('Raw Data'!$Y$2:$Y$670,7,'Raw Data'!$J$2:$J$670,"THBKK")/COUNTIF('Raw Data'!$J$2:$J$670,"THBKK")</f>
        <v>0.076555023923445</v>
      </c>
      <c r="C14" s="15" t="n">
        <f aca="false">COUNTIFS('Raw Data'!$Y$2:$Y$670,7,'Raw Data'!$J$2:$J$670,"THLCH")/COUNTIF('Raw Data'!$J$2:$J$670,"THLCH")</f>
        <v>0.0369565217391304</v>
      </c>
      <c r="D14" s="12" t="n">
        <f aca="false">COUNTIFS('Raw Data'!$Y$2:$Y$670,7,'Raw Data'!$J$2:$J$670,"THBKK")</f>
        <v>16</v>
      </c>
      <c r="E14" s="12" t="n">
        <f aca="false">COUNTIFS('Raw Data'!$Y$2:$Y$670,7,'Raw Data'!$J$2:$J$670,"THLCH")</f>
        <v>17</v>
      </c>
    </row>
    <row r="15" customFormat="false" ht="15" hidden="false" customHeight="false" outlineLevel="0" collapsed="false">
      <c r="A15" s="12" t="s">
        <v>100</v>
      </c>
      <c r="B15" s="15" t="n">
        <f aca="false">COUNTIFS('Raw Data'!$Y$2:$Y$670,8,'Raw Data'!$J$2:$J$670,"THBKK")/COUNTIF('Raw Data'!$J$2:$J$670,"THBKK")</f>
        <v>0.0861244019138756</v>
      </c>
      <c r="C15" s="15" t="n">
        <f aca="false">COUNTIFS('Raw Data'!$Y$2:$Y$670,8,'Raw Data'!$J$2:$J$670,"THLCH")/COUNTIF('Raw Data'!$J$2:$J$670,"THLCH")</f>
        <v>0.0239130434782609</v>
      </c>
      <c r="D15" s="12" t="n">
        <f aca="false">COUNTIFS('Raw Data'!$Y$2:$Y$670,8,'Raw Data'!$J$2:$J$670,"THBKK")</f>
        <v>18</v>
      </c>
      <c r="E15" s="12" t="n">
        <f aca="false">COUNTIFS('Raw Data'!$Y$2:$Y$670,8,'Raw Data'!$J$2:$J$670,"THLCH")</f>
        <v>11</v>
      </c>
    </row>
    <row r="16" customFormat="false" ht="15" hidden="false" customHeight="false" outlineLevel="0" collapsed="false">
      <c r="A16" s="12" t="s">
        <v>101</v>
      </c>
      <c r="B16" s="15" t="n">
        <f aca="false">COUNTIFS('Raw Data'!$Y$2:$Y$670,9,'Raw Data'!$J$2:$J$670,"THBKK")/COUNTIF('Raw Data'!$J$2:$J$670,"THBKK")</f>
        <v>0.0478468899521531</v>
      </c>
      <c r="C16" s="15" t="n">
        <f aca="false">COUNTIFS('Raw Data'!$Y$2:$Y$670,9,'Raw Data'!$J$2:$J$670,"THLCH")/COUNTIF('Raw Data'!$J$2:$J$670,"THLCH")</f>
        <v>0.0478260869565217</v>
      </c>
      <c r="D16" s="12" t="n">
        <f aca="false">COUNTIFS('Raw Data'!$Y$2:$Y$670,9,'Raw Data'!$J$2:$J$670,"THBKK")</f>
        <v>10</v>
      </c>
      <c r="E16" s="12" t="n">
        <f aca="false">COUNTIFS('Raw Data'!$Y$2:$Y$670,9,'Raw Data'!$J$2:$J$670,"THLCH")</f>
        <v>22</v>
      </c>
    </row>
    <row r="17" customFormat="false" ht="15" hidden="false" customHeight="false" outlineLevel="0" collapsed="false">
      <c r="A17" s="12" t="s">
        <v>102</v>
      </c>
      <c r="B17" s="15" t="n">
        <f aca="false">COUNTIFS('Raw Data'!$Y$2:$Y$670,10,'Raw Data'!$J$2:$J$670,"THBKK")/COUNTIF('Raw Data'!$J$2:$J$670,"THBKK")</f>
        <v>0.0382775119617225</v>
      </c>
      <c r="C17" s="15" t="n">
        <f aca="false">COUNTIFS('Raw Data'!$Y$2:$Y$670,10,'Raw Data'!$J$2:$J$670,"THLCH")/COUNTIF('Raw Data'!$J$2:$J$670,"THLCH")</f>
        <v>0.0347826086956522</v>
      </c>
      <c r="D17" s="12" t="n">
        <f aca="false">COUNTIFS('Raw Data'!$Y$2:$Y$670,10,'Raw Data'!$J$2:$J$670,"THBKK")</f>
        <v>8</v>
      </c>
      <c r="E17" s="12" t="n">
        <f aca="false">COUNTIFS('Raw Data'!$Y$2:$Y$670,10,'Raw Data'!$J$2:$J$670,"THLCH")</f>
        <v>16</v>
      </c>
    </row>
    <row r="18" customFormat="false" ht="15" hidden="false" customHeight="false" outlineLevel="0" collapsed="false">
      <c r="A18" s="12" t="s">
        <v>103</v>
      </c>
      <c r="B18" s="15" t="n">
        <f aca="false">COUNTIFS('Raw Data'!$Y$2:$Y$670,11,'Raw Data'!$J$2:$J$670,"THBKK")/COUNTIF('Raw Data'!$J$2:$J$670,"THBKK")</f>
        <v>0.0191387559808612</v>
      </c>
      <c r="C18" s="15" t="n">
        <f aca="false">COUNTIFS('Raw Data'!$Y$2:$Y$670,11,'Raw Data'!$J$2:$J$670,"THLCH")/COUNTIF('Raw Data'!$J$2:$J$670,"THLCH")</f>
        <v>0.058695652173913</v>
      </c>
      <c r="D18" s="12" t="n">
        <f aca="false">COUNTIFS('Raw Data'!$Y$2:$Y$670,11,'Raw Data'!$J$2:$J$670,"THBKK")</f>
        <v>4</v>
      </c>
      <c r="E18" s="12" t="n">
        <f aca="false">COUNTIFS('Raw Data'!$Y$2:$Y$670,11,'Raw Data'!$J$2:$J$670,"THLCH")</f>
        <v>27</v>
      </c>
    </row>
    <row r="19" customFormat="false" ht="15" hidden="false" customHeight="false" outlineLevel="0" collapsed="false">
      <c r="A19" s="12" t="s">
        <v>104</v>
      </c>
      <c r="B19" s="15" t="n">
        <f aca="false">COUNTIFS('Raw Data'!$Y$2:$Y$670,12,'Raw Data'!$J$2:$J$670,"THBKK")/COUNTIF('Raw Data'!$J$2:$J$670,"THBKK")</f>
        <v>0.0239234449760766</v>
      </c>
      <c r="C19" s="15" t="n">
        <f aca="false">COUNTIFS('Raw Data'!$Y$2:$Y$670,12,'Raw Data'!$J$2:$J$670,"THLCH")/COUNTIF('Raw Data'!$J$2:$J$670,"THLCH")</f>
        <v>0.0369565217391304</v>
      </c>
      <c r="D19" s="12" t="n">
        <f aca="false">COUNTIFS('Raw Data'!$Y$2:$Y$670,12,'Raw Data'!$J$2:$J$670,"THBKK")</f>
        <v>5</v>
      </c>
      <c r="E19" s="12" t="n">
        <f aca="false">COUNTIFS('Raw Data'!$Y$2:$Y$670,12,'Raw Data'!$J$2:$J$670,"THLCH")</f>
        <v>17</v>
      </c>
    </row>
    <row r="20" customFormat="false" ht="15" hidden="false" customHeight="false" outlineLevel="0" collapsed="false">
      <c r="A20" s="12" t="s">
        <v>105</v>
      </c>
      <c r="B20" s="15" t="n">
        <f aca="false">COUNTIFS('Raw Data'!$Y$2:$Y$670,13,'Raw Data'!$J$2:$J$670,"THBKK")/COUNTIF('Raw Data'!$J$2:$J$670,"THBKK")</f>
        <v>0.0191387559808612</v>
      </c>
      <c r="C20" s="15" t="n">
        <f aca="false">COUNTIFS('Raw Data'!$Y$2:$Y$670,13,'Raw Data'!$J$2:$J$670,"THLCH")/COUNTIF('Raw Data'!$J$2:$J$670,"THLCH")</f>
        <v>0.0434782608695652</v>
      </c>
      <c r="D20" s="12" t="n">
        <f aca="false">COUNTIFS('Raw Data'!$Y$2:$Y$670,13,'Raw Data'!$J$2:$J$670,"THBKK")</f>
        <v>4</v>
      </c>
      <c r="E20" s="12" t="n">
        <f aca="false">COUNTIFS('Raw Data'!$Y$2:$Y$670,13,'Raw Data'!$J$2:$J$670,"THLCH")</f>
        <v>20</v>
      </c>
    </row>
    <row r="21" customFormat="false" ht="15" hidden="false" customHeight="false" outlineLevel="0" collapsed="false">
      <c r="A21" s="12" t="s">
        <v>106</v>
      </c>
      <c r="B21" s="15" t="n">
        <f aca="false">COUNTIFS('Raw Data'!$Y$2:$Y$670,14,'Raw Data'!$J$2:$J$670,"THBKK")/COUNTIF('Raw Data'!$J$2:$J$670,"THBKK")</f>
        <v>0.00478468899521531</v>
      </c>
      <c r="C21" s="15" t="n">
        <f aca="false">COUNTIFS('Raw Data'!$Y$2:$Y$670,14,'Raw Data'!$J$2:$J$670,"THLCH")/COUNTIF('Raw Data'!$J$2:$J$670,"THLCH")</f>
        <v>0.041304347826087</v>
      </c>
      <c r="D21" s="12" t="n">
        <f aca="false">COUNTIFS('Raw Data'!$Y$2:$Y$670,14,'Raw Data'!$J$2:$J$670,"THBKK")</f>
        <v>1</v>
      </c>
      <c r="E21" s="12" t="n">
        <f aca="false">COUNTIFS('Raw Data'!$Y$2:$Y$670,14,'Raw Data'!$J$2:$J$670,"THLCH")</f>
        <v>19</v>
      </c>
    </row>
    <row r="22" customFormat="false" ht="15" hidden="false" customHeight="false" outlineLevel="0" collapsed="false">
      <c r="A22" s="12" t="s">
        <v>107</v>
      </c>
      <c r="B22" s="15" t="n">
        <f aca="false">COUNTIFS('Raw Data'!$Y$2:$Y$670,15,'Raw Data'!$J$2:$J$670,"THBKK")/COUNTIF('Raw Data'!$J$2:$J$670,"THBKK")</f>
        <v>0.0191387559808612</v>
      </c>
      <c r="C22" s="15" t="n">
        <f aca="false">COUNTIFS('Raw Data'!$Y$2:$Y$670,15,'Raw Data'!$J$2:$J$670,"THLCH")/COUNTIF('Raw Data'!$J$2:$J$670,"THLCH")</f>
        <v>0.0239130434782609</v>
      </c>
      <c r="D22" s="12" t="n">
        <f aca="false">COUNTIFS('Raw Data'!$Y$2:$Y$670,15,'Raw Data'!$J$2:$J$670,"THBKK")</f>
        <v>4</v>
      </c>
      <c r="E22" s="12" t="n">
        <f aca="false">COUNTIFS('Raw Data'!$Y$2:$Y$670,15,'Raw Data'!$J$2:$J$670,"THLCH")</f>
        <v>11</v>
      </c>
    </row>
    <row r="23" customFormat="false" ht="15" hidden="false" customHeight="false" outlineLevel="0" collapsed="false">
      <c r="A23" s="12" t="s">
        <v>108</v>
      </c>
      <c r="B23" s="15" t="n">
        <f aca="false">COUNTIFS('Raw Data'!$Y$2:$Y$670,16,'Raw Data'!$J$2:$J$670,"THBKK")/COUNTIF('Raw Data'!$J$2:$J$670,"THBKK")</f>
        <v>0.0287081339712919</v>
      </c>
      <c r="C23" s="15" t="n">
        <f aca="false">COUNTIFS('Raw Data'!$Y$2:$Y$670,16,'Raw Data'!$J$2:$J$670,"THLCH")/COUNTIF('Raw Data'!$J$2:$J$670,"THLCH")</f>
        <v>0.0282608695652174</v>
      </c>
      <c r="D23" s="12" t="n">
        <f aca="false">COUNTIFS('Raw Data'!$Y$2:$Y$670,16,'Raw Data'!$J$2:$J$670,"THBKK")</f>
        <v>6</v>
      </c>
      <c r="E23" s="12" t="n">
        <f aca="false">COUNTIFS('Raw Data'!$Y$2:$Y$670,16,'Raw Data'!$J$2:$J$670,"THLCH")</f>
        <v>13</v>
      </c>
    </row>
    <row r="24" customFormat="false" ht="15" hidden="false" customHeight="false" outlineLevel="0" collapsed="false">
      <c r="A24" s="12" t="s">
        <v>109</v>
      </c>
      <c r="B24" s="15" t="n">
        <f aca="false">COUNTIFS('Raw Data'!$Y$2:$Y$670,17,'Raw Data'!$J$2:$J$670,"THBKK")/COUNTIF('Raw Data'!$J$2:$J$670,"THBKK")</f>
        <v>0.0334928229665072</v>
      </c>
      <c r="C24" s="15" t="n">
        <f aca="false">COUNTIFS('Raw Data'!$Y$2:$Y$670,17,'Raw Data'!$J$2:$J$670,"THLCH")/COUNTIF('Raw Data'!$J$2:$J$670,"THLCH")</f>
        <v>0.0521739130434783</v>
      </c>
      <c r="D24" s="12" t="n">
        <f aca="false">COUNTIFS('Raw Data'!$Y$2:$Y$670,17,'Raw Data'!$J$2:$J$670,"THBKK")</f>
        <v>7</v>
      </c>
      <c r="E24" s="12" t="n">
        <f aca="false">COUNTIFS('Raw Data'!$Y$2:$Y$670,17,'Raw Data'!$J$2:$J$670,"THLCH")</f>
        <v>24</v>
      </c>
    </row>
    <row r="25" customFormat="false" ht="15" hidden="false" customHeight="false" outlineLevel="0" collapsed="false">
      <c r="A25" s="12" t="s">
        <v>110</v>
      </c>
      <c r="B25" s="15" t="n">
        <f aca="false">COUNTIFS('Raw Data'!$Y$2:$Y$670,18,'Raw Data'!$J$2:$J$670,"THBKK")/COUNTIF('Raw Data'!$J$2:$J$670,"THBKK")</f>
        <v>0.0430622009569378</v>
      </c>
      <c r="C25" s="15" t="n">
        <f aca="false">COUNTIFS('Raw Data'!$Y$2:$Y$670,18,'Raw Data'!$J$2:$J$670,"THLCH")/COUNTIF('Raw Data'!$J$2:$J$670,"THLCH")</f>
        <v>0.0391304347826087</v>
      </c>
      <c r="D25" s="12" t="n">
        <f aca="false">COUNTIFS('Raw Data'!$Y$2:$Y$670,18,'Raw Data'!$J$2:$J$670,"THBKK")</f>
        <v>9</v>
      </c>
      <c r="E25" s="12" t="n">
        <f aca="false">COUNTIFS('Raw Data'!$Y$2:$Y$670,18,'Raw Data'!$J$2:$J$670,"THLCH")</f>
        <v>18</v>
      </c>
    </row>
    <row r="26" customFormat="false" ht="15" hidden="false" customHeight="false" outlineLevel="0" collapsed="false">
      <c r="A26" s="12" t="s">
        <v>111</v>
      </c>
      <c r="B26" s="15" t="n">
        <f aca="false">COUNTIFS('Raw Data'!$Y$2:$Y$670,19,'Raw Data'!$J$2:$J$670,"THBKK")/COUNTIF('Raw Data'!$J$2:$J$670,"THBKK")</f>
        <v>0.0574162679425837</v>
      </c>
      <c r="C26" s="15" t="n">
        <f aca="false">COUNTIFS('Raw Data'!$Y$2:$Y$670,19,'Raw Data'!$J$2:$J$670,"THLCH")/COUNTIF('Raw Data'!$J$2:$J$670,"THLCH")</f>
        <v>0.0434782608695652</v>
      </c>
      <c r="D26" s="12" t="n">
        <f aca="false">COUNTIFS('Raw Data'!$Y$2:$Y$670,19,'Raw Data'!$J$2:$J$670,"THBKK")</f>
        <v>12</v>
      </c>
      <c r="E26" s="12" t="n">
        <f aca="false">COUNTIFS('Raw Data'!$Y$2:$Y$670,19,'Raw Data'!$J$2:$J$670,"THLCH")</f>
        <v>20</v>
      </c>
    </row>
    <row r="27" customFormat="false" ht="15" hidden="false" customHeight="false" outlineLevel="0" collapsed="false">
      <c r="A27" s="12" t="s">
        <v>112</v>
      </c>
      <c r="B27" s="15" t="n">
        <f aca="false">COUNTIFS('Raw Data'!$Y$2:$Y$670,20,'Raw Data'!$J$2:$J$670,"THBKK")/COUNTIF('Raw Data'!$J$2:$J$670,"THBKK")</f>
        <v>0.0717703349282297</v>
      </c>
      <c r="C27" s="15" t="n">
        <f aca="false">COUNTIFS('Raw Data'!$Y$2:$Y$670,20,'Raw Data'!$J$2:$J$670,"THLCH")/COUNTIF('Raw Data'!$J$2:$J$670,"THLCH")</f>
        <v>0.0543478260869565</v>
      </c>
      <c r="D27" s="12" t="n">
        <f aca="false">COUNTIFS('Raw Data'!$Y$2:$Y$670,20,'Raw Data'!$J$2:$J$670,"THBKK")</f>
        <v>15</v>
      </c>
      <c r="E27" s="12" t="n">
        <f aca="false">COUNTIFS('Raw Data'!$Y$2:$Y$670,20,'Raw Data'!$J$2:$J$670,"THLCH")</f>
        <v>25</v>
      </c>
    </row>
    <row r="28" customFormat="false" ht="15" hidden="false" customHeight="false" outlineLevel="0" collapsed="false">
      <c r="A28" s="12" t="s">
        <v>113</v>
      </c>
      <c r="B28" s="15" t="n">
        <f aca="false">COUNTIFS('Raw Data'!$Y$2:$Y$670,21,'Raw Data'!$J$2:$J$670,"THBKK")/COUNTIF('Raw Data'!$J$2:$J$670,"THBKK")</f>
        <v>0.100478468899522</v>
      </c>
      <c r="C28" s="15" t="n">
        <f aca="false">COUNTIFS('Raw Data'!$Y$2:$Y$670,21,'Raw Data'!$J$2:$J$670,"THLCH")/COUNTIF('Raw Data'!$J$2:$J$670,"THLCH")</f>
        <v>0.0456521739130435</v>
      </c>
      <c r="D28" s="12" t="n">
        <f aca="false">COUNTIFS('Raw Data'!$Y$2:$Y$670,21,'Raw Data'!$J$2:$J$670,"THBKK")</f>
        <v>21</v>
      </c>
      <c r="E28" s="12" t="n">
        <f aca="false">COUNTIFS('Raw Data'!$Y$2:$Y$670,21,'Raw Data'!$J$2:$J$670,"THLCH")</f>
        <v>21</v>
      </c>
    </row>
    <row r="29" customFormat="false" ht="15" hidden="false" customHeight="false" outlineLevel="0" collapsed="false">
      <c r="A29" s="12" t="s">
        <v>114</v>
      </c>
      <c r="B29" s="15" t="n">
        <f aca="false">COUNTIFS('Raw Data'!$Y$2:$Y$670,22,'Raw Data'!$J$2:$J$670,"THBKK")/COUNTIF('Raw Data'!$J$2:$J$670,"THBKK")</f>
        <v>0.076555023923445</v>
      </c>
      <c r="C29" s="15" t="n">
        <f aca="false">COUNTIFS('Raw Data'!$Y$2:$Y$670,22,'Raw Data'!$J$2:$J$670,"THLCH")/COUNTIF('Raw Data'!$J$2:$J$670,"THLCH")</f>
        <v>0.05</v>
      </c>
      <c r="D29" s="12" t="n">
        <f aca="false">COUNTIFS('Raw Data'!$Y$2:$Y$670,22,'Raw Data'!$J$2:$J$670,"THBKK")</f>
        <v>16</v>
      </c>
      <c r="E29" s="12" t="n">
        <f aca="false">COUNTIFS('Raw Data'!$Y$2:$Y$670,22,'Raw Data'!$J$2:$J$670,"THLCH")</f>
        <v>23</v>
      </c>
    </row>
    <row r="30" customFormat="false" ht="15" hidden="false" customHeight="false" outlineLevel="0" collapsed="false">
      <c r="A30" s="12" t="s">
        <v>115</v>
      </c>
      <c r="B30" s="15" t="n">
        <f aca="false">COUNTIFS('Raw Data'!$Y$2:$Y$670,23,'Raw Data'!$J$2:$J$670,"THBKK")/COUNTIF('Raw Data'!$J$2:$J$670,"THBKK")</f>
        <v>0.0574162679425837</v>
      </c>
      <c r="C30" s="15" t="n">
        <f aca="false">COUNTIFS('Raw Data'!$Y$2:$Y$670,23,'Raw Data'!$J$2:$J$670,"THLCH")/COUNTIF('Raw Data'!$J$2:$J$670,"THLCH")</f>
        <v>0.05</v>
      </c>
      <c r="D30" s="12" t="n">
        <f aca="false">COUNTIFS('Raw Data'!$Y$2:$Y$670,23,'Raw Data'!$J$2:$J$670,"THBKK")</f>
        <v>12</v>
      </c>
      <c r="E30" s="12" t="n">
        <f aca="false">COUNTIFS('Raw Data'!$Y$2:$Y$670,23,'Raw Data'!$J$2:$J$670,"THLCH")</f>
        <v>23</v>
      </c>
    </row>
    <row r="32" customFormat="false" ht="27.75" hidden="false" customHeight="true" outlineLevel="0" collapsed="false">
      <c r="A32" s="2" t="s">
        <v>116</v>
      </c>
      <c r="B32" s="2"/>
      <c r="C32" s="2"/>
      <c r="D32" s="2"/>
      <c r="E32" s="2"/>
      <c r="F32" s="2"/>
      <c r="G32" s="2"/>
      <c r="H32" s="2"/>
    </row>
    <row r="35" customFormat="false" ht="15" hidden="false" customHeight="false" outlineLevel="0" collapsed="false">
      <c r="A35" s="3" t="s">
        <v>117</v>
      </c>
    </row>
    <row r="36" customFormat="false" ht="23.85" hidden="false" customHeight="false" outlineLevel="0" collapsed="false">
      <c r="A36" s="4" t="s">
        <v>3</v>
      </c>
      <c r="B36" s="4" t="s">
        <v>4</v>
      </c>
      <c r="C36" s="4" t="s">
        <v>5</v>
      </c>
      <c r="D36" s="4" t="s">
        <v>118</v>
      </c>
      <c r="E36" s="4" t="s">
        <v>119</v>
      </c>
      <c r="F36" s="4" t="s">
        <v>120</v>
      </c>
    </row>
    <row r="37" customFormat="false" ht="15" hidden="false" customHeight="false" outlineLevel="0" collapsed="false">
      <c r="A37" s="5" t="s">
        <v>12</v>
      </c>
      <c r="B37" s="5" t="n">
        <f aca="false">COUNTIF('Raw Data'!$J$2:$J$670,$A37)</f>
        <v>209</v>
      </c>
      <c r="C37" s="6" t="n">
        <f aca="false">AVERAGEIF('Raw Data'!$J$2:$J$670,$A37,'Raw Data'!$S$2:$S$670)</f>
        <v>11.2094114832536</v>
      </c>
      <c r="D37" s="6" t="n">
        <f aca="false">AVERAGEIF('Raw Data'!$J$2:$J$670,$A37,'Raw Data'!$V$2:$V$670)</f>
        <v>29.7256009569378</v>
      </c>
      <c r="E37" s="6" t="n">
        <f aca="false">AVERAGEIF('Raw Data'!$J$2:$J$670,$A37,'Raw Data'!$W$2:$W$670)</f>
        <v>40.9350043062201</v>
      </c>
      <c r="F37" s="16" t="n">
        <f aca="false">C37/E37</f>
        <v>0.27383437899261</v>
      </c>
    </row>
    <row r="38" customFormat="false" ht="15" hidden="false" customHeight="false" outlineLevel="0" collapsed="false">
      <c r="A38" s="8" t="s">
        <v>13</v>
      </c>
      <c r="B38" s="8" t="n">
        <f aca="false">COUNTIF('Raw Data'!$J$2:$J$670,$A38)</f>
        <v>460</v>
      </c>
      <c r="C38" s="9" t="n">
        <f aca="false">AVERAGEIF('Raw Data'!$J$2:$J$670,$A38,'Raw Data'!$S$2:$S$670)</f>
        <v>3.97271891304348</v>
      </c>
      <c r="D38" s="9" t="n">
        <f aca="false">AVERAGEIF('Raw Data'!$J$2:$J$670,$A38,'Raw Data'!$V$2:$V$670)</f>
        <v>10.4510160869565</v>
      </c>
      <c r="E38" s="9" t="n">
        <f aca="false">AVERAGEIF('Raw Data'!$J$2:$J$670,$A38,'Raw Data'!$W$2:$W$670)</f>
        <v>14.4237297826087</v>
      </c>
      <c r="F38" s="17" t="n">
        <f aca="false">C38/E38</f>
        <v>0.275429377346874</v>
      </c>
    </row>
    <row r="39" customFormat="false" ht="15" hidden="false" customHeight="false" outlineLevel="0" collapsed="false">
      <c r="A39" s="11" t="s">
        <v>121</v>
      </c>
    </row>
    <row r="42" customFormat="false" ht="15" hidden="false" customHeight="false" outlineLevel="0" collapsed="false">
      <c r="A42" s="3" t="s">
        <v>122</v>
      </c>
    </row>
    <row r="43" customFormat="false" ht="15" hidden="false" customHeight="false" outlineLevel="0" collapsed="false">
      <c r="A43" s="4" t="s">
        <v>123</v>
      </c>
      <c r="B43" s="4" t="s">
        <v>124</v>
      </c>
      <c r="C43" s="4" t="s">
        <v>4</v>
      </c>
      <c r="D43" s="4" t="s">
        <v>5</v>
      </c>
      <c r="E43" s="4" t="s">
        <v>6</v>
      </c>
    </row>
    <row r="44" customFormat="false" ht="15" hidden="false" customHeight="false" outlineLevel="0" collapsed="false">
      <c r="A44" s="12" t="s">
        <v>125</v>
      </c>
      <c r="B44" s="12" t="s">
        <v>126</v>
      </c>
      <c r="C44" s="12" t="n">
        <f aca="false">COUNTIF('Raw Data'!$G$2:$G$670,$A44)</f>
        <v>436</v>
      </c>
      <c r="D44" s="13" t="n">
        <f aca="false">AVERAGEIF('Raw Data'!$G$2:$G$670,$A44,'Raw Data'!$S$2:$S$670)</f>
        <v>8.17358669724771</v>
      </c>
      <c r="E44" s="13" t="n">
        <f aca="false" t="array" ref="E44:E44">MEDIAN(IF('Raw Data'!$G$2:$G$670=$A44,'Raw Data'!$S$2:$S$670))</f>
        <v>4</v>
      </c>
    </row>
    <row r="45" customFormat="false" ht="15" hidden="false" customHeight="false" outlineLevel="0" collapsed="false">
      <c r="A45" s="12" t="s">
        <v>127</v>
      </c>
      <c r="B45" s="12" t="s">
        <v>128</v>
      </c>
      <c r="C45" s="12" t="n">
        <f aca="false">COUNTIF('Raw Data'!$G$2:$G$670,$A45)</f>
        <v>232</v>
      </c>
      <c r="D45" s="13" t="n">
        <f aca="false">AVERAGEIF('Raw Data'!$G$2:$G$670,$A45,'Raw Data'!$S$2:$S$670)</f>
        <v>2.50661163793103</v>
      </c>
      <c r="E45" s="13" t="n">
        <f aca="false" t="array" ref="E45:E45">MEDIAN(IF('Raw Data'!$G$2:$G$670=$A45,'Raw Data'!$S$2:$S$670))</f>
        <v>1</v>
      </c>
    </row>
    <row r="48" customFormat="false" ht="15" hidden="false" customHeight="false" outlineLevel="0" collapsed="false">
      <c r="A48" s="3" t="s">
        <v>129</v>
      </c>
    </row>
    <row r="49" customFormat="false" ht="15" hidden="false" customHeight="false" outlineLevel="0" collapsed="false">
      <c r="A49" s="4" t="s">
        <v>130</v>
      </c>
      <c r="B49" s="4" t="s">
        <v>58</v>
      </c>
      <c r="C49" s="4" t="s">
        <v>59</v>
      </c>
      <c r="D49" s="4" t="s">
        <v>60</v>
      </c>
      <c r="E49" s="4" t="s">
        <v>61</v>
      </c>
    </row>
    <row r="50" customFormat="false" ht="15" hidden="false" customHeight="false" outlineLevel="0" collapsed="false">
      <c r="A50" s="12" t="s">
        <v>131</v>
      </c>
      <c r="B50" s="13" t="n">
        <f aca="false">IFERROR(AVERAGEIFS('Raw Data'!$S$2:$S$670,'Raw Data'!$X$2:$X$670,$A50,'Raw Data'!$J$2:$J$670,"THBKK"),0)</f>
        <v>13.6656575757576</v>
      </c>
      <c r="C50" s="13" t="n">
        <f aca="false">IFERROR(AVERAGEIFS('Raw Data'!$S$2:$S$670,'Raw Data'!$X$2:$X$670,$A50,'Raw Data'!$J$2:$J$670,"THLCH"),0)</f>
        <v>3.76161818181818</v>
      </c>
      <c r="D50" s="12" t="n">
        <f aca="false">COUNTIFS('Raw Data'!$X$2:$X$670,$A50,'Raw Data'!$J$2:$J$670,"THBKK")</f>
        <v>33</v>
      </c>
      <c r="E50" s="12" t="n">
        <f aca="false">COUNTIFS('Raw Data'!$X$2:$X$670,$A50,'Raw Data'!$J$2:$J$670,"THLCH")</f>
        <v>66</v>
      </c>
    </row>
    <row r="51" customFormat="false" ht="15" hidden="false" customHeight="false" outlineLevel="0" collapsed="false">
      <c r="A51" s="12" t="s">
        <v>132</v>
      </c>
      <c r="B51" s="13" t="n">
        <f aca="false">IFERROR(AVERAGEIFS('Raw Data'!$S$2:$S$670,'Raw Data'!$X$2:$X$670,$A51,'Raw Data'!$J$2:$J$670,"THBKK"),0)</f>
        <v>12.9919028571429</v>
      </c>
      <c r="C51" s="13" t="n">
        <f aca="false">IFERROR(AVERAGEIFS('Raw Data'!$S$2:$S$670,'Raw Data'!$X$2:$X$670,$A51,'Raw Data'!$J$2:$J$670,"THLCH"),0)</f>
        <v>3.62903225806452</v>
      </c>
      <c r="D51" s="12" t="n">
        <f aca="false">COUNTIFS('Raw Data'!$X$2:$X$670,$A51,'Raw Data'!$J$2:$J$670,"THBKK")</f>
        <v>35</v>
      </c>
      <c r="E51" s="12" t="n">
        <f aca="false">COUNTIFS('Raw Data'!$X$2:$X$670,$A51,'Raw Data'!$J$2:$J$670,"THLCH")</f>
        <v>62</v>
      </c>
    </row>
    <row r="52" customFormat="false" ht="15" hidden="false" customHeight="false" outlineLevel="0" collapsed="false">
      <c r="A52" s="12" t="s">
        <v>133</v>
      </c>
      <c r="B52" s="13" t="n">
        <f aca="false">IFERROR(AVERAGEIFS('Raw Data'!$S$2:$S$670,'Raw Data'!$X$2:$X$670,$A52,'Raw Data'!$J$2:$J$670,"THBKK"),0)</f>
        <v>9.70500333333333</v>
      </c>
      <c r="C52" s="13" t="n">
        <f aca="false">IFERROR(AVERAGEIFS('Raw Data'!$S$2:$S$670,'Raw Data'!$X$2:$X$670,$A52,'Raw Data'!$J$2:$J$670,"THLCH"),0)</f>
        <v>4.43455487804878</v>
      </c>
      <c r="D52" s="12" t="n">
        <f aca="false">COUNTIFS('Raw Data'!$X$2:$X$670,$A52,'Raw Data'!$J$2:$J$670,"THBKK")</f>
        <v>30</v>
      </c>
      <c r="E52" s="12" t="n">
        <f aca="false">COUNTIFS('Raw Data'!$X$2:$X$670,$A52,'Raw Data'!$J$2:$J$670,"THLCH")</f>
        <v>82</v>
      </c>
    </row>
    <row r="53" customFormat="false" ht="15" hidden="false" customHeight="false" outlineLevel="0" collapsed="false">
      <c r="A53" s="12" t="s">
        <v>134</v>
      </c>
      <c r="B53" s="13" t="n">
        <f aca="false">IFERROR(AVERAGEIFS('Raw Data'!$S$2:$S$670,'Raw Data'!$X$2:$X$670,$A53,'Raw Data'!$J$2:$J$670,"THBKK"),0)</f>
        <v>10.4817258064516</v>
      </c>
      <c r="C53" s="13" t="n">
        <f aca="false">IFERROR(AVERAGEIFS('Raw Data'!$S$2:$S$670,'Raw Data'!$X$2:$X$670,$A53,'Raw Data'!$J$2:$J$670,"THLCH"),0)</f>
        <v>4.09889333333333</v>
      </c>
      <c r="D53" s="12" t="n">
        <f aca="false">COUNTIFS('Raw Data'!$X$2:$X$670,$A53,'Raw Data'!$J$2:$J$670,"THBKK")</f>
        <v>31</v>
      </c>
      <c r="E53" s="12" t="n">
        <f aca="false">COUNTIFS('Raw Data'!$X$2:$X$670,$A53,'Raw Data'!$J$2:$J$670,"THLCH")</f>
        <v>60</v>
      </c>
    </row>
    <row r="54" customFormat="false" ht="15" hidden="false" customHeight="false" outlineLevel="0" collapsed="false">
      <c r="A54" s="12" t="s">
        <v>135</v>
      </c>
      <c r="B54" s="13" t="n">
        <f aca="false">IFERROR(AVERAGEIFS('Raw Data'!$S$2:$S$670,'Raw Data'!$X$2:$X$670,$A54,'Raw Data'!$J$2:$J$670,"THBKK"),0)</f>
        <v>10.6111142857143</v>
      </c>
      <c r="C54" s="13" t="n">
        <f aca="false">IFERROR(AVERAGEIFS('Raw Data'!$S$2:$S$670,'Raw Data'!$X$2:$X$670,$A54,'Raw Data'!$J$2:$J$670,"THLCH"),0)</f>
        <v>4.67285857142857</v>
      </c>
      <c r="D54" s="12" t="n">
        <f aca="false">COUNTIFS('Raw Data'!$X$2:$X$670,$A54,'Raw Data'!$J$2:$J$670,"THBKK")</f>
        <v>21</v>
      </c>
      <c r="E54" s="12" t="n">
        <f aca="false">COUNTIFS('Raw Data'!$X$2:$X$670,$A54,'Raw Data'!$J$2:$J$670,"THLCH")</f>
        <v>70</v>
      </c>
    </row>
    <row r="55" customFormat="false" ht="15" hidden="false" customHeight="false" outlineLevel="0" collapsed="false">
      <c r="A55" s="12" t="s">
        <v>136</v>
      </c>
      <c r="B55" s="13" t="n">
        <f aca="false">IFERROR(AVERAGEIFS('Raw Data'!$S$2:$S$670,'Raw Data'!$X$2:$X$670,$A55,'Raw Data'!$J$2:$J$670,"THBKK"),0)</f>
        <v>9.81322068965517</v>
      </c>
      <c r="C55" s="13" t="n">
        <f aca="false">IFERROR(AVERAGEIFS('Raw Data'!$S$2:$S$670,'Raw Data'!$X$2:$X$670,$A55,'Raw Data'!$J$2:$J$670,"THLCH"),0)</f>
        <v>3.82547169811321</v>
      </c>
      <c r="D55" s="12" t="n">
        <f aca="false">COUNTIFS('Raw Data'!$X$2:$X$670,$A55,'Raw Data'!$J$2:$J$670,"THBKK")</f>
        <v>29</v>
      </c>
      <c r="E55" s="12" t="n">
        <f aca="false">COUNTIFS('Raw Data'!$X$2:$X$670,$A55,'Raw Data'!$J$2:$J$670,"THLCH")</f>
        <v>53</v>
      </c>
    </row>
    <row r="56" customFormat="false" ht="15" hidden="false" customHeight="false" outlineLevel="0" collapsed="false">
      <c r="A56" s="12" t="s">
        <v>137</v>
      </c>
      <c r="B56" s="13" t="n">
        <f aca="false">IFERROR(AVERAGEIFS('Raw Data'!$S$2:$S$670,'Raw Data'!$X$2:$X$670,$A56,'Raw Data'!$J$2:$J$670,"THBKK"),0)</f>
        <v>10.4527766666667</v>
      </c>
      <c r="C56" s="13" t="n">
        <f aca="false">IFERROR(AVERAGEIFS('Raw Data'!$S$2:$S$670,'Raw Data'!$X$2:$X$670,$A56,'Raw Data'!$J$2:$J$670,"THLCH"),0)</f>
        <v>3.20547313432836</v>
      </c>
      <c r="D56" s="12" t="n">
        <f aca="false">COUNTIFS('Raw Data'!$X$2:$X$670,$A56,'Raw Data'!$J$2:$J$670,"THBKK")</f>
        <v>30</v>
      </c>
      <c r="E56" s="12" t="n">
        <f aca="false">COUNTIFS('Raw Data'!$X$2:$X$670,$A56,'Raw Data'!$J$2:$J$670,"THLCH")</f>
        <v>67</v>
      </c>
    </row>
    <row r="59" customFormat="false" ht="15" hidden="false" customHeight="false" outlineLevel="0" collapsed="false">
      <c r="A59" s="3" t="s">
        <v>138</v>
      </c>
    </row>
    <row r="60" customFormat="false" ht="15" hidden="false" customHeight="false" outlineLevel="0" collapsed="false">
      <c r="A60" s="4" t="s">
        <v>3</v>
      </c>
      <c r="B60" s="4" t="s">
        <v>4</v>
      </c>
      <c r="C60" s="4" t="s">
        <v>139</v>
      </c>
      <c r="D60" s="4" t="s">
        <v>140</v>
      </c>
      <c r="E60" s="4" t="s">
        <v>141</v>
      </c>
    </row>
    <row r="61" customFormat="false" ht="15" hidden="false" customHeight="false" outlineLevel="0" collapsed="false">
      <c r="A61" s="5" t="s">
        <v>12</v>
      </c>
      <c r="B61" s="5" t="n">
        <f aca="false">COUNTIF('Raw Data'!$J$2:$J$670,$A61)</f>
        <v>209</v>
      </c>
      <c r="C61" s="16" t="n">
        <f aca="false">COUNTIFS('Raw Data'!$J$2:$J$670,$A61,'Raw Data'!$S$2:$S$670,"&gt;"&amp;4)/B61</f>
        <v>0.626794258373206</v>
      </c>
      <c r="D61" s="16" t="n">
        <f aca="false">COUNTIFS('Raw Data'!$J$2:$J$670,$A61,'Raw Data'!$S$2:$S$670,"&gt;"&amp;8)/B61</f>
        <v>0.502392344497608</v>
      </c>
      <c r="E61" s="16" t="n">
        <f aca="false">COUNTIFS('Raw Data'!$J$2:$J$670,$A61,'Raw Data'!$S$2:$S$670,"&gt;"&amp;24)/B61</f>
        <v>0.105263157894737</v>
      </c>
    </row>
    <row r="62" customFormat="false" ht="15" hidden="false" customHeight="false" outlineLevel="0" collapsed="false">
      <c r="A62" s="8" t="s">
        <v>13</v>
      </c>
      <c r="B62" s="8" t="n">
        <f aca="false">COUNTIF('Raw Data'!$J$2:$J$670,$A62)</f>
        <v>460</v>
      </c>
      <c r="C62" s="17" t="n">
        <f aca="false">COUNTIFS('Raw Data'!$J$2:$J$670,$A62,'Raw Data'!$S$2:$S$670,"&gt;"&amp;4)/B62</f>
        <v>0.247826086956522</v>
      </c>
      <c r="D62" s="17" t="n">
        <f aca="false">COUNTIFS('Raw Data'!$J$2:$J$670,$A62,'Raw Data'!$S$2:$S$670,"&gt;"&amp;8)/B62</f>
        <v>0.141304347826087</v>
      </c>
      <c r="E62" s="17" t="n">
        <f aca="false">COUNTIFS('Raw Data'!$J$2:$J$670,$A62,'Raw Data'!$S$2:$S$670,"&gt;"&amp;24)/B62</f>
        <v>0.0260869565217391</v>
      </c>
    </row>
    <row r="65" customFormat="false" ht="15" hidden="false" customHeight="false" outlineLevel="0" collapsed="false">
      <c r="A65" s="3" t="s">
        <v>142</v>
      </c>
    </row>
    <row r="66" customFormat="false" ht="15" hidden="false" customHeight="false" outlineLevel="0" collapsed="false">
      <c r="A66" s="4" t="s">
        <v>143</v>
      </c>
      <c r="B66" s="4" t="s">
        <v>4</v>
      </c>
      <c r="C66" s="4" t="s">
        <v>5</v>
      </c>
    </row>
    <row r="67" customFormat="false" ht="15" hidden="false" customHeight="false" outlineLevel="0" collapsed="false">
      <c r="A67" s="12" t="s">
        <v>125</v>
      </c>
      <c r="B67" s="12" t="n">
        <f aca="false">COUNTIF('Raw Data'!$L$2:$L$670,$A67)</f>
        <v>627</v>
      </c>
      <c r="C67" s="13" t="n">
        <f aca="false">AVERAGEIF('Raw Data'!$L$2:$L$670,$A67,'Raw Data'!$S$2:$S$670)</f>
        <v>6.64994625199362</v>
      </c>
    </row>
    <row r="68" customFormat="false" ht="15" hidden="false" customHeight="false" outlineLevel="0" collapsed="false">
      <c r="A68" s="12" t="s">
        <v>144</v>
      </c>
      <c r="B68" s="12" t="n">
        <f aca="false">COUNTIF('Raw Data'!$L$2:$L$670,$A68)</f>
        <v>42</v>
      </c>
      <c r="C68" s="13" t="n">
        <f aca="false">AVERAGEIF('Raw Data'!$L$2:$L$670,$A68,'Raw Data'!$S$2:$S$670)</f>
        <v>0.0167</v>
      </c>
    </row>
    <row r="69" customFormat="false" ht="15" hidden="false" customHeight="false" outlineLevel="0" collapsed="false">
      <c r="A69" s="2" t="s">
        <v>145</v>
      </c>
      <c r="B69" s="2"/>
      <c r="C69" s="2"/>
      <c r="D69" s="2"/>
      <c r="E69" s="2"/>
      <c r="F69" s="2"/>
    </row>
  </sheetData>
  <mergeCells count="4">
    <mergeCell ref="A1:H1"/>
    <mergeCell ref="A4:H4"/>
    <mergeCell ref="A32:H32"/>
    <mergeCell ref="A69:F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6"/>
    <col collapsed="false" customWidth="true" hidden="false" outlineLevel="0" max="4" min="4" style="0" width="9"/>
    <col collapsed="false" customWidth="true" hidden="false" outlineLevel="0" max="5" min="5" style="0" width="5"/>
    <col collapsed="false" customWidth="true" hidden="false" outlineLevel="0" max="6" min="6" style="0" width="7"/>
    <col collapsed="false" customWidth="true" hidden="false" outlineLevel="0" max="7" min="7" style="0" width="6"/>
    <col collapsed="false" customWidth="true" hidden="false" outlineLevel="0" max="8" min="8" style="0" width="9"/>
    <col collapsed="false" customWidth="true" hidden="false" outlineLevel="0" max="9" min="9" style="0" width="7"/>
    <col collapsed="false" customWidth="true" hidden="false" outlineLevel="0" max="10" min="10" style="0" width="13"/>
    <col collapsed="false" customWidth="true" hidden="false" outlineLevel="0" max="11" min="11" style="0" width="7"/>
    <col collapsed="false" customWidth="true" hidden="false" outlineLevel="0" max="14" min="12" style="0" width="6"/>
    <col collapsed="false" customWidth="true" hidden="false" outlineLevel="0" max="15" min="15" style="0" width="7"/>
    <col collapsed="false" customWidth="true" hidden="false" outlineLevel="0" max="18" min="16" style="0" width="17"/>
    <col collapsed="false" customWidth="true" hidden="false" outlineLevel="0" max="19" min="19" style="0" width="10"/>
    <col collapsed="false" customWidth="true" hidden="false" outlineLevel="0" max="21" min="20" style="0" width="9"/>
    <col collapsed="false" customWidth="true" hidden="false" outlineLevel="0" max="22" min="22" style="0" width="14"/>
    <col collapsed="false" customWidth="true" hidden="false" outlineLevel="0" max="23" min="23" style="0" width="12"/>
    <col collapsed="false" customWidth="true" hidden="false" outlineLevel="0" max="24" min="24" style="0" width="11"/>
    <col collapsed="false" customWidth="true" hidden="false" outlineLevel="0" max="25" min="25" style="0" width="9"/>
  </cols>
  <sheetData>
    <row r="1" customFormat="false" ht="23.85" hidden="false" customHeight="false" outlineLevel="0" collapsed="false">
      <c r="A1" s="4" t="s">
        <v>30</v>
      </c>
      <c r="B1" s="4" t="s">
        <v>73</v>
      </c>
      <c r="C1" s="4" t="s">
        <v>74</v>
      </c>
      <c r="D1" s="4" t="s">
        <v>146</v>
      </c>
      <c r="E1" s="4" t="s">
        <v>147</v>
      </c>
      <c r="F1" s="4" t="s">
        <v>148</v>
      </c>
      <c r="G1" s="4" t="s">
        <v>123</v>
      </c>
      <c r="H1" s="4" t="s">
        <v>149</v>
      </c>
      <c r="I1" s="4" t="s">
        <v>16</v>
      </c>
      <c r="J1" s="4" t="s">
        <v>150</v>
      </c>
      <c r="K1" s="4" t="s">
        <v>75</v>
      </c>
      <c r="L1" s="4" t="s">
        <v>151</v>
      </c>
      <c r="M1" s="4" t="s">
        <v>152</v>
      </c>
      <c r="N1" s="4" t="s">
        <v>153</v>
      </c>
      <c r="O1" s="4" t="s">
        <v>154</v>
      </c>
      <c r="P1" s="4" t="s">
        <v>76</v>
      </c>
      <c r="Q1" s="4" t="s">
        <v>77</v>
      </c>
      <c r="R1" s="4" t="s">
        <v>155</v>
      </c>
      <c r="S1" s="4" t="s">
        <v>78</v>
      </c>
      <c r="T1" s="4" t="s">
        <v>57</v>
      </c>
      <c r="U1" s="4" t="s">
        <v>156</v>
      </c>
      <c r="V1" s="4" t="s">
        <v>157</v>
      </c>
      <c r="W1" s="4" t="s">
        <v>158</v>
      </c>
      <c r="X1" s="4" t="s">
        <v>159</v>
      </c>
      <c r="Y1" s="4" t="s">
        <v>160</v>
      </c>
    </row>
    <row r="2" customFormat="false" ht="15" hidden="false" customHeight="false" outlineLevel="0" collapsed="false">
      <c r="A2" s="18" t="s">
        <v>31</v>
      </c>
      <c r="B2" s="18" t="s">
        <v>161</v>
      </c>
      <c r="C2" s="18" t="s">
        <v>162</v>
      </c>
      <c r="D2" s="18" t="s">
        <v>46</v>
      </c>
      <c r="E2" s="18" t="s">
        <v>163</v>
      </c>
      <c r="F2" s="18" t="n">
        <v>2522</v>
      </c>
      <c r="G2" s="18" t="s">
        <v>125</v>
      </c>
      <c r="H2" s="18" t="s">
        <v>164</v>
      </c>
      <c r="I2" s="18" t="s">
        <v>24</v>
      </c>
      <c r="J2" s="18" t="s">
        <v>13</v>
      </c>
      <c r="K2" s="18" t="s">
        <v>165</v>
      </c>
      <c r="L2" s="18" t="s">
        <v>125</v>
      </c>
      <c r="M2" s="18" t="s">
        <v>125</v>
      </c>
      <c r="N2" s="18" t="s">
        <v>125</v>
      </c>
      <c r="O2" s="18"/>
      <c r="P2" s="19" t="n">
        <v>46023.25</v>
      </c>
      <c r="Q2" s="19" t="n">
        <v>46023.2916666667</v>
      </c>
      <c r="R2" s="19" t="n">
        <v>46023.4958333333</v>
      </c>
      <c r="S2" s="20" t="n">
        <f aca="false">ROUND((Q2-P2)*24,4)</f>
        <v>1</v>
      </c>
      <c r="T2" s="18" t="str">
        <f aca="false">TEXT(P2,"YYYY-MM")</f>
        <v>2026-01</v>
      </c>
      <c r="U2" s="18" t="n">
        <f aca="false">RANK(S2,$S$2:$S$670)+COUNTIF($S$2:S2,S2)-1</f>
        <v>368</v>
      </c>
      <c r="V2" s="20" t="n">
        <f aca="false">ROUND((R2-Q2)*24,4)</f>
        <v>4.9</v>
      </c>
      <c r="W2" s="20" t="n">
        <f aca="false">ROUND((R2-P2)*24,4)</f>
        <v>5.9</v>
      </c>
      <c r="X2" s="18" t="str">
        <f aca="false">TEXT(P2,"dddd")</f>
        <v>Thursday</v>
      </c>
      <c r="Y2" s="18" t="n">
        <f aca="false">HOUR(Q2)</f>
        <v>7</v>
      </c>
    </row>
    <row r="3" customFormat="false" ht="15" hidden="false" customHeight="false" outlineLevel="0" collapsed="false">
      <c r="A3" s="18" t="s">
        <v>36</v>
      </c>
      <c r="B3" s="18" t="s">
        <v>166</v>
      </c>
      <c r="C3" s="18" t="s">
        <v>167</v>
      </c>
      <c r="D3" s="18" t="s">
        <v>47</v>
      </c>
      <c r="E3" s="18" t="s">
        <v>168</v>
      </c>
      <c r="F3" s="18" t="n">
        <v>2513</v>
      </c>
      <c r="G3" s="18" t="s">
        <v>127</v>
      </c>
      <c r="H3" s="18" t="s">
        <v>169</v>
      </c>
      <c r="I3" s="18" t="s">
        <v>23</v>
      </c>
      <c r="J3" s="18" t="s">
        <v>13</v>
      </c>
      <c r="K3" s="18" t="s">
        <v>12</v>
      </c>
      <c r="L3" s="18" t="s">
        <v>125</v>
      </c>
      <c r="M3" s="18" t="s">
        <v>125</v>
      </c>
      <c r="N3" s="18" t="s">
        <v>125</v>
      </c>
      <c r="O3" s="18"/>
      <c r="P3" s="19" t="n">
        <v>46023.5833333333</v>
      </c>
      <c r="Q3" s="19" t="n">
        <v>46023.625</v>
      </c>
      <c r="R3" s="19" t="n">
        <v>46024.0416666667</v>
      </c>
      <c r="S3" s="20" t="n">
        <f aca="false">ROUND((Q3-P3)*24,4)</f>
        <v>1</v>
      </c>
      <c r="T3" s="18" t="str">
        <f aca="false">TEXT(P3,"YYYY-MM")</f>
        <v>2026-01</v>
      </c>
      <c r="U3" s="18" t="n">
        <f aca="false">RANK(S3,$S$2:$S$670)+COUNTIF($S$2:S3,S3)-1</f>
        <v>369</v>
      </c>
      <c r="V3" s="20" t="n">
        <f aca="false">ROUND((R3-Q3)*24,4)</f>
        <v>10</v>
      </c>
      <c r="W3" s="20" t="n">
        <f aca="false">ROUND((R3-P3)*24,4)</f>
        <v>11</v>
      </c>
      <c r="X3" s="18" t="str">
        <f aca="false">TEXT(P3,"dddd")</f>
        <v>Thursday</v>
      </c>
      <c r="Y3" s="18" t="n">
        <f aca="false">HOUR(Q3)</f>
        <v>15</v>
      </c>
    </row>
    <row r="4" customFormat="false" ht="15" hidden="false" customHeight="false" outlineLevel="0" collapsed="false">
      <c r="A4" s="18" t="s">
        <v>36</v>
      </c>
      <c r="B4" s="18" t="s">
        <v>166</v>
      </c>
      <c r="C4" s="18" t="s">
        <v>167</v>
      </c>
      <c r="D4" s="18" t="s">
        <v>47</v>
      </c>
      <c r="E4" s="18" t="s">
        <v>163</v>
      </c>
      <c r="F4" s="18" t="n">
        <v>2513</v>
      </c>
      <c r="G4" s="18" t="s">
        <v>125</v>
      </c>
      <c r="H4" s="18" t="s">
        <v>170</v>
      </c>
      <c r="I4" s="18" t="s">
        <v>17</v>
      </c>
      <c r="J4" s="18" t="s">
        <v>12</v>
      </c>
      <c r="K4" s="18" t="s">
        <v>13</v>
      </c>
      <c r="L4" s="18" t="s">
        <v>125</v>
      </c>
      <c r="M4" s="18" t="s">
        <v>125</v>
      </c>
      <c r="N4" s="18" t="s">
        <v>125</v>
      </c>
      <c r="O4" s="18"/>
      <c r="P4" s="19" t="n">
        <v>46024.125</v>
      </c>
      <c r="Q4" s="19" t="n">
        <v>46025.375</v>
      </c>
      <c r="R4" s="19" t="n">
        <v>46026.5</v>
      </c>
      <c r="S4" s="20" t="n">
        <f aca="false">ROUND((Q4-P4)*24,4)</f>
        <v>30</v>
      </c>
      <c r="T4" s="18" t="str">
        <f aca="false">TEXT(P4,"YYYY-MM")</f>
        <v>2026-01</v>
      </c>
      <c r="U4" s="18" t="n">
        <f aca="false">RANK(S4,$S$2:$S$670)+COUNTIF($S$2:S4,S4)-1</f>
        <v>20</v>
      </c>
      <c r="V4" s="20" t="n">
        <f aca="false">ROUND((R4-Q4)*24,4)</f>
        <v>27</v>
      </c>
      <c r="W4" s="20" t="n">
        <f aca="false">ROUND((R4-P4)*24,4)</f>
        <v>57</v>
      </c>
      <c r="X4" s="18" t="str">
        <f aca="false">TEXT(P4,"dddd")</f>
        <v>Friday</v>
      </c>
      <c r="Y4" s="18" t="n">
        <f aca="false">HOUR(Q4)</f>
        <v>9</v>
      </c>
    </row>
    <row r="5" customFormat="false" ht="15" hidden="false" customHeight="false" outlineLevel="0" collapsed="false">
      <c r="A5" s="18" t="s">
        <v>34</v>
      </c>
      <c r="B5" s="18" t="s">
        <v>171</v>
      </c>
      <c r="C5" s="18" t="s">
        <v>172</v>
      </c>
      <c r="D5" s="18" t="s">
        <v>47</v>
      </c>
      <c r="E5" s="18" t="s">
        <v>163</v>
      </c>
      <c r="F5" s="18" t="n">
        <v>2514</v>
      </c>
      <c r="G5" s="18" t="s">
        <v>127</v>
      </c>
      <c r="H5" s="18" t="s">
        <v>173</v>
      </c>
      <c r="I5" s="18" t="s">
        <v>20</v>
      </c>
      <c r="J5" s="18" t="s">
        <v>13</v>
      </c>
      <c r="K5" s="18" t="s">
        <v>12</v>
      </c>
      <c r="L5" s="18" t="s">
        <v>125</v>
      </c>
      <c r="M5" s="18" t="s">
        <v>125</v>
      </c>
      <c r="N5" s="18" t="s">
        <v>125</v>
      </c>
      <c r="O5" s="18"/>
      <c r="P5" s="19" t="n">
        <v>46024.6666666667</v>
      </c>
      <c r="Q5" s="19" t="n">
        <v>46024.7083333333</v>
      </c>
      <c r="R5" s="19" t="n">
        <v>46024.9958333333</v>
      </c>
      <c r="S5" s="20" t="n">
        <f aca="false">ROUND((Q5-P5)*24,4)</f>
        <v>1</v>
      </c>
      <c r="T5" s="18" t="str">
        <f aca="false">TEXT(P5,"YYYY-MM")</f>
        <v>2026-01</v>
      </c>
      <c r="U5" s="18" t="n">
        <f aca="false">RANK(S5,$S$2:$S$670)+COUNTIF($S$2:S5,S5)-1</f>
        <v>370</v>
      </c>
      <c r="V5" s="20" t="n">
        <f aca="false">ROUND((R5-Q5)*24,4)</f>
        <v>6.9</v>
      </c>
      <c r="W5" s="20" t="n">
        <f aca="false">ROUND((R5-P5)*24,4)</f>
        <v>7.9</v>
      </c>
      <c r="X5" s="18" t="str">
        <f aca="false">TEXT(P5,"dddd")</f>
        <v>Friday</v>
      </c>
      <c r="Y5" s="18" t="n">
        <f aca="false">HOUR(Q5)</f>
        <v>17</v>
      </c>
    </row>
    <row r="6" customFormat="false" ht="15" hidden="false" customHeight="false" outlineLevel="0" collapsed="false">
      <c r="A6" s="18" t="s">
        <v>33</v>
      </c>
      <c r="B6" s="18" t="s">
        <v>174</v>
      </c>
      <c r="C6" s="18" t="s">
        <v>175</v>
      </c>
      <c r="D6" s="18" t="s">
        <v>49</v>
      </c>
      <c r="E6" s="18" t="s">
        <v>163</v>
      </c>
      <c r="F6" s="18" t="n">
        <v>2514</v>
      </c>
      <c r="G6" s="18" t="s">
        <v>127</v>
      </c>
      <c r="H6" s="18" t="s">
        <v>173</v>
      </c>
      <c r="I6" s="18" t="s">
        <v>23</v>
      </c>
      <c r="J6" s="18" t="s">
        <v>13</v>
      </c>
      <c r="K6" s="18" t="s">
        <v>12</v>
      </c>
      <c r="L6" s="18" t="s">
        <v>125</v>
      </c>
      <c r="M6" s="18" t="s">
        <v>125</v>
      </c>
      <c r="N6" s="18" t="s">
        <v>125</v>
      </c>
      <c r="O6" s="18"/>
      <c r="P6" s="19" t="n">
        <v>46024.9583333333</v>
      </c>
      <c r="Q6" s="19" t="n">
        <v>46025</v>
      </c>
      <c r="R6" s="19" t="n">
        <v>46025.25</v>
      </c>
      <c r="S6" s="20" t="n">
        <f aca="false">ROUND((Q6-P6)*24,4)</f>
        <v>1</v>
      </c>
      <c r="T6" s="18" t="str">
        <f aca="false">TEXT(P6,"YYYY-MM")</f>
        <v>2026-01</v>
      </c>
      <c r="U6" s="18" t="n">
        <f aca="false">RANK(S6,$S$2:$S$670)+COUNTIF($S$2:S6,S6)-1</f>
        <v>371</v>
      </c>
      <c r="V6" s="20" t="n">
        <f aca="false">ROUND((R6-Q6)*24,4)</f>
        <v>6</v>
      </c>
      <c r="W6" s="20" t="n">
        <f aca="false">ROUND((R6-P6)*24,4)</f>
        <v>7</v>
      </c>
      <c r="X6" s="18" t="str">
        <f aca="false">TEXT(P6,"dddd")</f>
        <v>Friday</v>
      </c>
      <c r="Y6" s="18" t="n">
        <f aca="false">HOUR(Q6)</f>
        <v>0</v>
      </c>
    </row>
    <row r="7" customFormat="false" ht="15" hidden="false" customHeight="false" outlineLevel="0" collapsed="false">
      <c r="A7" s="18" t="s">
        <v>34</v>
      </c>
      <c r="B7" s="18" t="s">
        <v>171</v>
      </c>
      <c r="C7" s="18" t="s">
        <v>172</v>
      </c>
      <c r="D7" s="18" t="s">
        <v>47</v>
      </c>
      <c r="E7" s="18" t="s">
        <v>176</v>
      </c>
      <c r="F7" s="18" t="n">
        <v>2514</v>
      </c>
      <c r="G7" s="18" t="s">
        <v>125</v>
      </c>
      <c r="H7" s="18" t="s">
        <v>177</v>
      </c>
      <c r="I7" s="18" t="s">
        <v>17</v>
      </c>
      <c r="J7" s="18" t="s">
        <v>12</v>
      </c>
      <c r="K7" s="18" t="s">
        <v>13</v>
      </c>
      <c r="L7" s="18" t="s">
        <v>125</v>
      </c>
      <c r="M7" s="18" t="s">
        <v>125</v>
      </c>
      <c r="N7" s="18" t="s">
        <v>125</v>
      </c>
      <c r="O7" s="18"/>
      <c r="P7" s="19" t="n">
        <v>46025.0833333333</v>
      </c>
      <c r="Q7" s="19" t="n">
        <v>46027.5</v>
      </c>
      <c r="R7" s="19" t="n">
        <v>46029.2083333333</v>
      </c>
      <c r="S7" s="20" t="n">
        <f aca="false">ROUND((Q7-P7)*24,4)</f>
        <v>58</v>
      </c>
      <c r="T7" s="18" t="str">
        <f aca="false">TEXT(P7,"YYYY-MM")</f>
        <v>2026-01</v>
      </c>
      <c r="U7" s="18" t="n">
        <f aca="false">RANK(S7,$S$2:$S$670)+COUNTIF($S$2:S7,S7)-1</f>
        <v>2</v>
      </c>
      <c r="V7" s="20" t="n">
        <f aca="false">ROUND((R7-Q7)*24,4)</f>
        <v>41</v>
      </c>
      <c r="W7" s="20" t="n">
        <f aca="false">ROUND((R7-P7)*24,4)</f>
        <v>99</v>
      </c>
      <c r="X7" s="18" t="str">
        <f aca="false">TEXT(P7,"dddd")</f>
        <v>Saturday</v>
      </c>
      <c r="Y7" s="18" t="n">
        <f aca="false">HOUR(Q7)</f>
        <v>12</v>
      </c>
    </row>
    <row r="8" customFormat="false" ht="15" hidden="false" customHeight="false" outlineLevel="0" collapsed="false">
      <c r="A8" s="18" t="s">
        <v>33</v>
      </c>
      <c r="B8" s="18" t="s">
        <v>174</v>
      </c>
      <c r="C8" s="18" t="s">
        <v>175</v>
      </c>
      <c r="D8" s="18" t="s">
        <v>49</v>
      </c>
      <c r="E8" s="18" t="s">
        <v>176</v>
      </c>
      <c r="F8" s="18" t="n">
        <v>2514</v>
      </c>
      <c r="G8" s="18" t="s">
        <v>125</v>
      </c>
      <c r="H8" s="18" t="s">
        <v>177</v>
      </c>
      <c r="I8" s="18" t="s">
        <v>18</v>
      </c>
      <c r="J8" s="18" t="s">
        <v>12</v>
      </c>
      <c r="K8" s="18" t="s">
        <v>13</v>
      </c>
      <c r="L8" s="18" t="s">
        <v>125</v>
      </c>
      <c r="M8" s="18" t="s">
        <v>125</v>
      </c>
      <c r="N8" s="18" t="s">
        <v>125</v>
      </c>
      <c r="O8" s="18"/>
      <c r="P8" s="19" t="n">
        <v>46025.3333333333</v>
      </c>
      <c r="Q8" s="19" t="n">
        <v>46025.4166666667</v>
      </c>
      <c r="R8" s="19" t="n">
        <v>46026.2291666667</v>
      </c>
      <c r="S8" s="20" t="n">
        <f aca="false">ROUND((Q8-P8)*24,4)</f>
        <v>2</v>
      </c>
      <c r="T8" s="18" t="str">
        <f aca="false">TEXT(P8,"YYYY-MM")</f>
        <v>2026-01</v>
      </c>
      <c r="U8" s="18" t="n">
        <f aca="false">RANK(S8,$S$2:$S$670)+COUNTIF($S$2:S8,S8)-1</f>
        <v>316</v>
      </c>
      <c r="V8" s="20" t="n">
        <f aca="false">ROUND((R8-Q8)*24,4)</f>
        <v>19.5</v>
      </c>
      <c r="W8" s="20" t="n">
        <f aca="false">ROUND((R8-P8)*24,4)</f>
        <v>21.5</v>
      </c>
      <c r="X8" s="18" t="str">
        <f aca="false">TEXT(P8,"dddd")</f>
        <v>Saturday</v>
      </c>
      <c r="Y8" s="18" t="n">
        <f aca="false">HOUR(Q8)</f>
        <v>10</v>
      </c>
    </row>
    <row r="9" customFormat="false" ht="15" hidden="false" customHeight="false" outlineLevel="0" collapsed="false">
      <c r="A9" s="18" t="s">
        <v>38</v>
      </c>
      <c r="B9" s="18" t="s">
        <v>178</v>
      </c>
      <c r="C9" s="18" t="s">
        <v>179</v>
      </c>
      <c r="D9" s="18" t="s">
        <v>49</v>
      </c>
      <c r="E9" s="18" t="s">
        <v>163</v>
      </c>
      <c r="F9" s="18" t="n">
        <v>2510</v>
      </c>
      <c r="G9" s="18" t="s">
        <v>127</v>
      </c>
      <c r="H9" s="18" t="s">
        <v>180</v>
      </c>
      <c r="I9" s="18" t="s">
        <v>23</v>
      </c>
      <c r="J9" s="18" t="s">
        <v>13</v>
      </c>
      <c r="K9" s="18" t="s">
        <v>181</v>
      </c>
      <c r="L9" s="18" t="s">
        <v>125</v>
      </c>
      <c r="M9" s="18" t="s">
        <v>125</v>
      </c>
      <c r="N9" s="18" t="s">
        <v>125</v>
      </c>
      <c r="O9" s="18"/>
      <c r="P9" s="19" t="n">
        <v>46025.3333333333</v>
      </c>
      <c r="Q9" s="19" t="n">
        <v>46025.375</v>
      </c>
      <c r="R9" s="19" t="n">
        <v>46026</v>
      </c>
      <c r="S9" s="20" t="n">
        <f aca="false">ROUND((Q9-P9)*24,4)</f>
        <v>1</v>
      </c>
      <c r="T9" s="18" t="str">
        <f aca="false">TEXT(P9,"YYYY-MM")</f>
        <v>2026-01</v>
      </c>
      <c r="U9" s="18" t="n">
        <f aca="false">RANK(S9,$S$2:$S$670)+COUNTIF($S$2:S9,S9)-1</f>
        <v>372</v>
      </c>
      <c r="V9" s="20" t="n">
        <f aca="false">ROUND((R9-Q9)*24,4)</f>
        <v>15</v>
      </c>
      <c r="W9" s="20" t="n">
        <f aca="false">ROUND((R9-P9)*24,4)</f>
        <v>16</v>
      </c>
      <c r="X9" s="18" t="str">
        <f aca="false">TEXT(P9,"dddd")</f>
        <v>Saturday</v>
      </c>
      <c r="Y9" s="18" t="n">
        <f aca="false">HOUR(Q9)</f>
        <v>9</v>
      </c>
    </row>
    <row r="10" customFormat="false" ht="15" hidden="false" customHeight="false" outlineLevel="0" collapsed="false">
      <c r="A10" s="18" t="s">
        <v>32</v>
      </c>
      <c r="B10" s="18" t="s">
        <v>182</v>
      </c>
      <c r="C10" s="18" t="s">
        <v>183</v>
      </c>
      <c r="D10" s="18" t="s">
        <v>48</v>
      </c>
      <c r="E10" s="18" t="s">
        <v>168</v>
      </c>
      <c r="F10" s="18" t="n">
        <v>2515</v>
      </c>
      <c r="G10" s="18" t="s">
        <v>127</v>
      </c>
      <c r="H10" s="18" t="s">
        <v>184</v>
      </c>
      <c r="I10" s="18" t="s">
        <v>23</v>
      </c>
      <c r="J10" s="18" t="s">
        <v>13</v>
      </c>
      <c r="K10" s="18" t="s">
        <v>12</v>
      </c>
      <c r="L10" s="18" t="s">
        <v>125</v>
      </c>
      <c r="M10" s="18" t="s">
        <v>125</v>
      </c>
      <c r="N10" s="18" t="s">
        <v>125</v>
      </c>
      <c r="O10" s="18"/>
      <c r="P10" s="19" t="n">
        <v>46026.2916666667</v>
      </c>
      <c r="Q10" s="19" t="n">
        <v>46026.3333333333</v>
      </c>
      <c r="R10" s="19" t="n">
        <v>46026.6666666667</v>
      </c>
      <c r="S10" s="20" t="n">
        <f aca="false">ROUND((Q10-P10)*24,4)</f>
        <v>1</v>
      </c>
      <c r="T10" s="18" t="str">
        <f aca="false">TEXT(P10,"YYYY-MM")</f>
        <v>2026-01</v>
      </c>
      <c r="U10" s="18" t="n">
        <f aca="false">RANK(S10,$S$2:$S$670)+COUNTIF($S$2:S10,S10)-1</f>
        <v>373</v>
      </c>
      <c r="V10" s="20" t="n">
        <f aca="false">ROUND((R10-Q10)*24,4)</f>
        <v>8</v>
      </c>
      <c r="W10" s="20" t="n">
        <f aca="false">ROUND((R10-P10)*24,4)</f>
        <v>9</v>
      </c>
      <c r="X10" s="18" t="str">
        <f aca="false">TEXT(P10,"dddd")</f>
        <v>Sunday</v>
      </c>
      <c r="Y10" s="18" t="n">
        <f aca="false">HOUR(Q10)</f>
        <v>8</v>
      </c>
    </row>
    <row r="11" customFormat="false" ht="15" hidden="false" customHeight="false" outlineLevel="0" collapsed="false">
      <c r="A11" s="18" t="s">
        <v>33</v>
      </c>
      <c r="B11" s="18" t="s">
        <v>174</v>
      </c>
      <c r="C11" s="18" t="s">
        <v>175</v>
      </c>
      <c r="D11" s="18" t="s">
        <v>49</v>
      </c>
      <c r="E11" s="18" t="s">
        <v>185</v>
      </c>
      <c r="F11" s="18" t="n">
        <v>2514</v>
      </c>
      <c r="G11" s="18" t="s">
        <v>125</v>
      </c>
      <c r="H11" s="18" t="s">
        <v>177</v>
      </c>
      <c r="I11" s="18" t="s">
        <v>23</v>
      </c>
      <c r="J11" s="18" t="s">
        <v>13</v>
      </c>
      <c r="K11" s="18" t="s">
        <v>165</v>
      </c>
      <c r="L11" s="18" t="s">
        <v>125</v>
      </c>
      <c r="M11" s="18" t="s">
        <v>125</v>
      </c>
      <c r="N11" s="18" t="s">
        <v>125</v>
      </c>
      <c r="O11" s="18"/>
      <c r="P11" s="19" t="n">
        <v>46026.375</v>
      </c>
      <c r="Q11" s="19" t="n">
        <v>46026.4166666667</v>
      </c>
      <c r="R11" s="19" t="n">
        <v>46026.75</v>
      </c>
      <c r="S11" s="20" t="n">
        <f aca="false">ROUND((Q11-P11)*24,4)</f>
        <v>1</v>
      </c>
      <c r="T11" s="18" t="str">
        <f aca="false">TEXT(P11,"YYYY-MM")</f>
        <v>2026-01</v>
      </c>
      <c r="U11" s="18" t="n">
        <f aca="false">RANK(S11,$S$2:$S$670)+COUNTIF($S$2:S11,S11)-1</f>
        <v>374</v>
      </c>
      <c r="V11" s="20" t="n">
        <f aca="false">ROUND((R11-Q11)*24,4)</f>
        <v>8</v>
      </c>
      <c r="W11" s="20" t="n">
        <f aca="false">ROUND((R11-P11)*24,4)</f>
        <v>9</v>
      </c>
      <c r="X11" s="18" t="str">
        <f aca="false">TEXT(P11,"dddd")</f>
        <v>Sunday</v>
      </c>
      <c r="Y11" s="18" t="n">
        <f aca="false">HOUR(Q11)</f>
        <v>10</v>
      </c>
    </row>
    <row r="12" customFormat="false" ht="15" hidden="false" customHeight="false" outlineLevel="0" collapsed="false">
      <c r="A12" s="18" t="s">
        <v>36</v>
      </c>
      <c r="B12" s="18" t="s">
        <v>166</v>
      </c>
      <c r="C12" s="18" t="s">
        <v>167</v>
      </c>
      <c r="D12" s="18" t="s">
        <v>47</v>
      </c>
      <c r="E12" s="18" t="s">
        <v>176</v>
      </c>
      <c r="F12" s="18" t="n">
        <v>2513</v>
      </c>
      <c r="G12" s="18" t="s">
        <v>125</v>
      </c>
      <c r="H12" s="18" t="s">
        <v>170</v>
      </c>
      <c r="I12" s="18" t="s">
        <v>23</v>
      </c>
      <c r="J12" s="18" t="s">
        <v>13</v>
      </c>
      <c r="K12" s="18" t="s">
        <v>186</v>
      </c>
      <c r="L12" s="18" t="s">
        <v>125</v>
      </c>
      <c r="M12" s="18" t="s">
        <v>125</v>
      </c>
      <c r="N12" s="18" t="s">
        <v>125</v>
      </c>
      <c r="O12" s="18"/>
      <c r="P12" s="19" t="n">
        <v>46026.6833333333</v>
      </c>
      <c r="Q12" s="19" t="n">
        <v>46026.7083333333</v>
      </c>
      <c r="R12" s="19" t="n">
        <v>46027.0208333333</v>
      </c>
      <c r="S12" s="20" t="n">
        <f aca="false">ROUND((Q12-P12)*24,4)</f>
        <v>0.6</v>
      </c>
      <c r="T12" s="18" t="str">
        <f aca="false">TEXT(P12,"YYYY-MM")</f>
        <v>2026-01</v>
      </c>
      <c r="U12" s="18" t="n">
        <f aca="false">RANK(S12,$S$2:$S$670)+COUNTIF($S$2:S12,S12)-1</f>
        <v>596</v>
      </c>
      <c r="V12" s="20" t="n">
        <f aca="false">ROUND((R12-Q12)*24,4)</f>
        <v>7.5</v>
      </c>
      <c r="W12" s="20" t="n">
        <f aca="false">ROUND((R12-P12)*24,4)</f>
        <v>8.1</v>
      </c>
      <c r="X12" s="18" t="str">
        <f aca="false">TEXT(P12,"dddd")</f>
        <v>Sunday</v>
      </c>
      <c r="Y12" s="18" t="n">
        <f aca="false">HOUR(Q12)</f>
        <v>17</v>
      </c>
    </row>
    <row r="13" customFormat="false" ht="15" hidden="false" customHeight="false" outlineLevel="0" collapsed="false">
      <c r="A13" s="18" t="s">
        <v>32</v>
      </c>
      <c r="B13" s="18" t="s">
        <v>182</v>
      </c>
      <c r="C13" s="18" t="s">
        <v>183</v>
      </c>
      <c r="D13" s="18" t="s">
        <v>48</v>
      </c>
      <c r="E13" s="18" t="s">
        <v>163</v>
      </c>
      <c r="F13" s="18" t="n">
        <v>2515</v>
      </c>
      <c r="G13" s="18" t="s">
        <v>125</v>
      </c>
      <c r="H13" s="18" t="s">
        <v>187</v>
      </c>
      <c r="I13" s="18" t="s">
        <v>17</v>
      </c>
      <c r="J13" s="18" t="s">
        <v>12</v>
      </c>
      <c r="K13" s="18" t="s">
        <v>13</v>
      </c>
      <c r="L13" s="18" t="s">
        <v>125</v>
      </c>
      <c r="M13" s="18" t="s">
        <v>125</v>
      </c>
      <c r="N13" s="18" t="s">
        <v>125</v>
      </c>
      <c r="O13" s="18"/>
      <c r="P13" s="19" t="n">
        <v>46026.7708333333</v>
      </c>
      <c r="Q13" s="19" t="n">
        <v>46027.75</v>
      </c>
      <c r="R13" s="19" t="n">
        <v>46028.625</v>
      </c>
      <c r="S13" s="20" t="n">
        <f aca="false">ROUND((Q13-P13)*24,4)</f>
        <v>23.5</v>
      </c>
      <c r="T13" s="18" t="str">
        <f aca="false">TEXT(P13,"YYYY-MM")</f>
        <v>2026-01</v>
      </c>
      <c r="U13" s="18" t="n">
        <f aca="false">RANK(S13,$S$2:$S$670)+COUNTIF($S$2:S13,S13)-1</f>
        <v>36</v>
      </c>
      <c r="V13" s="20" t="n">
        <f aca="false">ROUND((R13-Q13)*24,4)</f>
        <v>21</v>
      </c>
      <c r="W13" s="20" t="n">
        <f aca="false">ROUND((R13-P13)*24,4)</f>
        <v>44.5</v>
      </c>
      <c r="X13" s="18" t="str">
        <f aca="false">TEXT(P13,"dddd")</f>
        <v>Sunday</v>
      </c>
      <c r="Y13" s="18" t="n">
        <f aca="false">HOUR(Q13)</f>
        <v>18</v>
      </c>
    </row>
    <row r="14" customFormat="false" ht="15" hidden="false" customHeight="false" outlineLevel="0" collapsed="false">
      <c r="A14" s="18" t="s">
        <v>32</v>
      </c>
      <c r="B14" s="18" t="s">
        <v>188</v>
      </c>
      <c r="C14" s="18" t="s">
        <v>189</v>
      </c>
      <c r="D14" s="18" t="s">
        <v>46</v>
      </c>
      <c r="E14" s="18" t="s">
        <v>168</v>
      </c>
      <c r="F14" s="18" t="n">
        <v>2523</v>
      </c>
      <c r="G14" s="18" t="s">
        <v>127</v>
      </c>
      <c r="H14" s="18" t="s">
        <v>190</v>
      </c>
      <c r="I14" s="18" t="s">
        <v>23</v>
      </c>
      <c r="J14" s="18" t="s">
        <v>13</v>
      </c>
      <c r="K14" s="18" t="s">
        <v>12</v>
      </c>
      <c r="L14" s="18" t="s">
        <v>125</v>
      </c>
      <c r="M14" s="18" t="s">
        <v>125</v>
      </c>
      <c r="N14" s="18" t="s">
        <v>125</v>
      </c>
      <c r="O14" s="18"/>
      <c r="P14" s="19" t="n">
        <v>46027.9604166667</v>
      </c>
      <c r="Q14" s="19" t="n">
        <v>46027.9833333333</v>
      </c>
      <c r="R14" s="19" t="n">
        <v>46028.3416666667</v>
      </c>
      <c r="S14" s="20" t="n">
        <f aca="false">ROUND((Q14-P14)*24,4)</f>
        <v>0.55</v>
      </c>
      <c r="T14" s="18" t="str">
        <f aca="false">TEXT(P14,"YYYY-MM")</f>
        <v>2026-01</v>
      </c>
      <c r="U14" s="18" t="n">
        <f aca="false">RANK(S14,$S$2:$S$670)+COUNTIF($S$2:S14,S14)-1</f>
        <v>602</v>
      </c>
      <c r="V14" s="20" t="n">
        <f aca="false">ROUND((R14-Q14)*24,4)</f>
        <v>8.6</v>
      </c>
      <c r="W14" s="20" t="n">
        <f aca="false">ROUND((R14-P14)*24,4)</f>
        <v>9.15</v>
      </c>
      <c r="X14" s="18" t="str">
        <f aca="false">TEXT(P14,"dddd")</f>
        <v>Monday</v>
      </c>
      <c r="Y14" s="18" t="n">
        <f aca="false">HOUR(Q14)</f>
        <v>23</v>
      </c>
    </row>
    <row r="15" customFormat="false" ht="15" hidden="false" customHeight="false" outlineLevel="0" collapsed="false">
      <c r="A15" s="18" t="s">
        <v>32</v>
      </c>
      <c r="B15" s="18" t="s">
        <v>188</v>
      </c>
      <c r="C15" s="18" t="s">
        <v>189</v>
      </c>
      <c r="D15" s="18" t="s">
        <v>46</v>
      </c>
      <c r="E15" s="18" t="s">
        <v>163</v>
      </c>
      <c r="F15" s="18" t="n">
        <v>2523</v>
      </c>
      <c r="G15" s="18" t="s">
        <v>125</v>
      </c>
      <c r="H15" s="18" t="s">
        <v>191</v>
      </c>
      <c r="I15" s="18" t="s">
        <v>17</v>
      </c>
      <c r="J15" s="18" t="s">
        <v>12</v>
      </c>
      <c r="K15" s="18" t="s">
        <v>13</v>
      </c>
      <c r="L15" s="18" t="s">
        <v>125</v>
      </c>
      <c r="M15" s="18" t="s">
        <v>125</v>
      </c>
      <c r="N15" s="18" t="s">
        <v>125</v>
      </c>
      <c r="O15" s="18"/>
      <c r="P15" s="19" t="n">
        <v>46028.5277777778</v>
      </c>
      <c r="Q15" s="19" t="n">
        <v>46028.6333333333</v>
      </c>
      <c r="R15" s="19" t="n">
        <v>46029.625</v>
      </c>
      <c r="S15" s="20" t="n">
        <f aca="false">ROUND((Q15-P15)*24,4)</f>
        <v>2.5333</v>
      </c>
      <c r="T15" s="18" t="str">
        <f aca="false">TEXT(P15,"YYYY-MM")</f>
        <v>2026-01</v>
      </c>
      <c r="U15" s="18" t="n">
        <f aca="false">RANK(S15,$S$2:$S$670)+COUNTIF($S$2:S15,S15)-1</f>
        <v>305</v>
      </c>
      <c r="V15" s="20" t="n">
        <f aca="false">ROUND((R15-Q15)*24,4)</f>
        <v>23.8</v>
      </c>
      <c r="W15" s="20" t="n">
        <f aca="false">ROUND((R15-P15)*24,4)</f>
        <v>26.3333</v>
      </c>
      <c r="X15" s="18" t="str">
        <f aca="false">TEXT(P15,"dddd")</f>
        <v>Tuesday</v>
      </c>
      <c r="Y15" s="18" t="n">
        <f aca="false">HOUR(Q15)</f>
        <v>15</v>
      </c>
    </row>
    <row r="16" customFormat="false" ht="15" hidden="false" customHeight="false" outlineLevel="0" collapsed="false">
      <c r="A16" s="18" t="s">
        <v>32</v>
      </c>
      <c r="B16" s="18" t="s">
        <v>182</v>
      </c>
      <c r="C16" s="18" t="s">
        <v>183</v>
      </c>
      <c r="D16" s="18" t="s">
        <v>48</v>
      </c>
      <c r="E16" s="18" t="s">
        <v>176</v>
      </c>
      <c r="F16" s="18" t="n">
        <v>2515</v>
      </c>
      <c r="G16" s="18" t="s">
        <v>125</v>
      </c>
      <c r="H16" s="18" t="s">
        <v>187</v>
      </c>
      <c r="I16" s="18" t="s">
        <v>23</v>
      </c>
      <c r="J16" s="18" t="s">
        <v>13</v>
      </c>
      <c r="K16" s="18" t="s">
        <v>186</v>
      </c>
      <c r="L16" s="18" t="s">
        <v>125</v>
      </c>
      <c r="M16" s="18" t="s">
        <v>125</v>
      </c>
      <c r="N16" s="18" t="s">
        <v>125</v>
      </c>
      <c r="O16" s="18"/>
      <c r="P16" s="19" t="n">
        <v>46028.7708333333</v>
      </c>
      <c r="Q16" s="19" t="n">
        <v>46029.3958333333</v>
      </c>
      <c r="R16" s="19" t="n">
        <v>46029.6875</v>
      </c>
      <c r="S16" s="20" t="n">
        <f aca="false">ROUND((Q16-P16)*24,4)</f>
        <v>15</v>
      </c>
      <c r="T16" s="18" t="str">
        <f aca="false">TEXT(P16,"YYYY-MM")</f>
        <v>2026-01</v>
      </c>
      <c r="U16" s="18" t="n">
        <f aca="false">RANK(S16,$S$2:$S$670)+COUNTIF($S$2:S16,S16)-1</f>
        <v>76</v>
      </c>
      <c r="V16" s="20" t="n">
        <f aca="false">ROUND((R16-Q16)*24,4)</f>
        <v>7</v>
      </c>
      <c r="W16" s="20" t="n">
        <f aca="false">ROUND((R16-P16)*24,4)</f>
        <v>22</v>
      </c>
      <c r="X16" s="18" t="str">
        <f aca="false">TEXT(P16,"dddd")</f>
        <v>Tuesday</v>
      </c>
      <c r="Y16" s="18" t="n">
        <f aca="false">HOUR(Q16)</f>
        <v>9</v>
      </c>
    </row>
    <row r="17" customFormat="false" ht="15" hidden="false" customHeight="false" outlineLevel="0" collapsed="false">
      <c r="A17" s="18" t="s">
        <v>34</v>
      </c>
      <c r="B17" s="18" t="s">
        <v>171</v>
      </c>
      <c r="C17" s="18" t="s">
        <v>172</v>
      </c>
      <c r="D17" s="18" t="s">
        <v>47</v>
      </c>
      <c r="E17" s="18" t="s">
        <v>185</v>
      </c>
      <c r="F17" s="18" t="n">
        <v>2514</v>
      </c>
      <c r="G17" s="18" t="s">
        <v>125</v>
      </c>
      <c r="H17" s="18" t="s">
        <v>177</v>
      </c>
      <c r="I17" s="18" t="s">
        <v>20</v>
      </c>
      <c r="J17" s="18" t="s">
        <v>13</v>
      </c>
      <c r="K17" s="18" t="s">
        <v>165</v>
      </c>
      <c r="L17" s="18" t="s">
        <v>125</v>
      </c>
      <c r="M17" s="18" t="s">
        <v>125</v>
      </c>
      <c r="N17" s="18" t="s">
        <v>125</v>
      </c>
      <c r="O17" s="18"/>
      <c r="P17" s="19" t="n">
        <v>46029.4166666667</v>
      </c>
      <c r="Q17" s="19" t="n">
        <v>46029.4583333333</v>
      </c>
      <c r="R17" s="19" t="n">
        <v>46029.75</v>
      </c>
      <c r="S17" s="20" t="n">
        <f aca="false">ROUND((Q17-P17)*24,4)</f>
        <v>1</v>
      </c>
      <c r="T17" s="18" t="str">
        <f aca="false">TEXT(P17,"YYYY-MM")</f>
        <v>2026-01</v>
      </c>
      <c r="U17" s="18" t="n">
        <f aca="false">RANK(S17,$S$2:$S$670)+COUNTIF($S$2:S17,S17)-1</f>
        <v>375</v>
      </c>
      <c r="V17" s="20" t="n">
        <f aca="false">ROUND((R17-Q17)*24,4)</f>
        <v>7</v>
      </c>
      <c r="W17" s="20" t="n">
        <f aca="false">ROUND((R17-P17)*24,4)</f>
        <v>8</v>
      </c>
      <c r="X17" s="18" t="str">
        <f aca="false">TEXT(P17,"dddd")</f>
        <v>Wednesday</v>
      </c>
      <c r="Y17" s="18" t="n">
        <f aca="false">HOUR(Q17)</f>
        <v>11</v>
      </c>
    </row>
    <row r="18" customFormat="false" ht="15" hidden="false" customHeight="false" outlineLevel="0" collapsed="false">
      <c r="A18" s="18" t="s">
        <v>37</v>
      </c>
      <c r="B18" s="18" t="s">
        <v>192</v>
      </c>
      <c r="C18" s="18" t="s">
        <v>193</v>
      </c>
      <c r="D18" s="18" t="s">
        <v>46</v>
      </c>
      <c r="E18" s="18" t="s">
        <v>163</v>
      </c>
      <c r="F18" s="18" t="n">
        <v>2515</v>
      </c>
      <c r="G18" s="18" t="s">
        <v>127</v>
      </c>
      <c r="H18" s="18" t="s">
        <v>184</v>
      </c>
      <c r="I18" s="18" t="s">
        <v>20</v>
      </c>
      <c r="J18" s="18" t="s">
        <v>13</v>
      </c>
      <c r="K18" s="18" t="s">
        <v>12</v>
      </c>
      <c r="L18" s="18" t="s">
        <v>125</v>
      </c>
      <c r="M18" s="18" t="s">
        <v>125</v>
      </c>
      <c r="N18" s="18" t="s">
        <v>125</v>
      </c>
      <c r="O18" s="18"/>
      <c r="P18" s="19" t="n">
        <v>46029.8125</v>
      </c>
      <c r="Q18" s="19" t="n">
        <v>46029.8541666667</v>
      </c>
      <c r="R18" s="19" t="n">
        <v>46030.3333333333</v>
      </c>
      <c r="S18" s="20" t="n">
        <f aca="false">ROUND((Q18-P18)*24,4)</f>
        <v>1</v>
      </c>
      <c r="T18" s="18" t="str">
        <f aca="false">TEXT(P18,"YYYY-MM")</f>
        <v>2026-01</v>
      </c>
      <c r="U18" s="18" t="n">
        <f aca="false">RANK(S18,$S$2:$S$670)+COUNTIF($S$2:S18,S18)-1</f>
        <v>376</v>
      </c>
      <c r="V18" s="20" t="n">
        <f aca="false">ROUND((R18-Q18)*24,4)</f>
        <v>11.5</v>
      </c>
      <c r="W18" s="20" t="n">
        <f aca="false">ROUND((R18-P18)*24,4)</f>
        <v>12.5</v>
      </c>
      <c r="X18" s="18" t="str">
        <f aca="false">TEXT(P18,"dddd")</f>
        <v>Wednesday</v>
      </c>
      <c r="Y18" s="18" t="n">
        <f aca="false">HOUR(Q18)</f>
        <v>20</v>
      </c>
    </row>
    <row r="19" customFormat="false" ht="15" hidden="false" customHeight="false" outlineLevel="0" collapsed="false">
      <c r="A19" s="18" t="s">
        <v>32</v>
      </c>
      <c r="B19" s="18" t="s">
        <v>188</v>
      </c>
      <c r="C19" s="18" t="s">
        <v>189</v>
      </c>
      <c r="D19" s="18" t="s">
        <v>46</v>
      </c>
      <c r="E19" s="18" t="s">
        <v>176</v>
      </c>
      <c r="F19" s="18" t="n">
        <v>2523</v>
      </c>
      <c r="G19" s="18" t="s">
        <v>125</v>
      </c>
      <c r="H19" s="18" t="s">
        <v>191</v>
      </c>
      <c r="I19" s="18" t="s">
        <v>23</v>
      </c>
      <c r="J19" s="18" t="s">
        <v>13</v>
      </c>
      <c r="K19" s="18" t="s">
        <v>186</v>
      </c>
      <c r="L19" s="18" t="s">
        <v>125</v>
      </c>
      <c r="M19" s="18" t="s">
        <v>125</v>
      </c>
      <c r="N19" s="18" t="s">
        <v>125</v>
      </c>
      <c r="O19" s="18"/>
      <c r="P19" s="19" t="n">
        <v>46029.8972222222</v>
      </c>
      <c r="Q19" s="19" t="n">
        <v>46029.9208333333</v>
      </c>
      <c r="R19" s="19" t="n">
        <v>46030.2583333333</v>
      </c>
      <c r="S19" s="20" t="n">
        <f aca="false">ROUND((Q19-P19)*24,4)</f>
        <v>0.5667</v>
      </c>
      <c r="T19" s="18" t="str">
        <f aca="false">TEXT(P19,"YYYY-MM")</f>
        <v>2026-01</v>
      </c>
      <c r="U19" s="18" t="n">
        <f aca="false">RANK(S19,$S$2:$S$670)+COUNTIF($S$2:S19,S19)-1</f>
        <v>601</v>
      </c>
      <c r="V19" s="20" t="n">
        <f aca="false">ROUND((R19-Q19)*24,4)</f>
        <v>8.1</v>
      </c>
      <c r="W19" s="20" t="n">
        <f aca="false">ROUND((R19-P19)*24,4)</f>
        <v>8.6667</v>
      </c>
      <c r="X19" s="18" t="str">
        <f aca="false">TEXT(P19,"dddd")</f>
        <v>Wednesday</v>
      </c>
      <c r="Y19" s="18" t="n">
        <f aca="false">HOUR(Q19)</f>
        <v>22</v>
      </c>
    </row>
    <row r="20" customFormat="false" ht="15" hidden="false" customHeight="false" outlineLevel="0" collapsed="false">
      <c r="A20" s="18" t="s">
        <v>37</v>
      </c>
      <c r="B20" s="18" t="s">
        <v>192</v>
      </c>
      <c r="C20" s="18" t="s">
        <v>193</v>
      </c>
      <c r="D20" s="18" t="s">
        <v>46</v>
      </c>
      <c r="E20" s="18" t="s">
        <v>176</v>
      </c>
      <c r="F20" s="18" t="n">
        <v>2515</v>
      </c>
      <c r="G20" s="18" t="s">
        <v>125</v>
      </c>
      <c r="H20" s="18" t="s">
        <v>187</v>
      </c>
      <c r="I20" s="18" t="s">
        <v>19</v>
      </c>
      <c r="J20" s="18" t="s">
        <v>12</v>
      </c>
      <c r="K20" s="18" t="s">
        <v>13</v>
      </c>
      <c r="L20" s="18" t="s">
        <v>125</v>
      </c>
      <c r="M20" s="18" t="s">
        <v>125</v>
      </c>
      <c r="N20" s="18" t="s">
        <v>125</v>
      </c>
      <c r="O20" s="18"/>
      <c r="P20" s="19" t="n">
        <v>46030.3958333333</v>
      </c>
      <c r="Q20" s="19" t="n">
        <v>46030.5208333333</v>
      </c>
      <c r="R20" s="19" t="n">
        <v>46031.7083333333</v>
      </c>
      <c r="S20" s="20" t="n">
        <f aca="false">ROUND((Q20-P20)*24,4)</f>
        <v>3</v>
      </c>
      <c r="T20" s="18" t="str">
        <f aca="false">TEXT(P20,"YYYY-MM")</f>
        <v>2026-01</v>
      </c>
      <c r="U20" s="18" t="n">
        <f aca="false">RANK(S20,$S$2:$S$670)+COUNTIF($S$2:S20,S20)-1</f>
        <v>270</v>
      </c>
      <c r="V20" s="20" t="n">
        <f aca="false">ROUND((R20-Q20)*24,4)</f>
        <v>28.5</v>
      </c>
      <c r="W20" s="20" t="n">
        <f aca="false">ROUND((R20-P20)*24,4)</f>
        <v>31.5</v>
      </c>
      <c r="X20" s="18" t="str">
        <f aca="false">TEXT(P20,"dddd")</f>
        <v>Thursday</v>
      </c>
      <c r="Y20" s="18" t="n">
        <f aca="false">HOUR(Q20)</f>
        <v>12</v>
      </c>
    </row>
    <row r="21" customFormat="false" ht="15" hidden="false" customHeight="false" outlineLevel="0" collapsed="false">
      <c r="A21" s="18" t="s">
        <v>33</v>
      </c>
      <c r="B21" s="18" t="s">
        <v>194</v>
      </c>
      <c r="C21" s="18" t="s">
        <v>195</v>
      </c>
      <c r="D21" s="18" t="s">
        <v>46</v>
      </c>
      <c r="E21" s="18" t="s">
        <v>163</v>
      </c>
      <c r="F21" s="18" t="n">
        <v>2514</v>
      </c>
      <c r="G21" s="18" t="s">
        <v>127</v>
      </c>
      <c r="H21" s="18" t="s">
        <v>173</v>
      </c>
      <c r="I21" s="18" t="s">
        <v>23</v>
      </c>
      <c r="J21" s="18" t="s">
        <v>13</v>
      </c>
      <c r="K21" s="18" t="s">
        <v>12</v>
      </c>
      <c r="L21" s="18" t="s">
        <v>125</v>
      </c>
      <c r="M21" s="18" t="s">
        <v>125</v>
      </c>
      <c r="N21" s="18" t="s">
        <v>125</v>
      </c>
      <c r="O21" s="18"/>
      <c r="P21" s="19" t="n">
        <v>46031.2916666667</v>
      </c>
      <c r="Q21" s="19" t="n">
        <v>46031.3333333333</v>
      </c>
      <c r="R21" s="19" t="n">
        <v>46031.625</v>
      </c>
      <c r="S21" s="20" t="n">
        <f aca="false">ROUND((Q21-P21)*24,4)</f>
        <v>1</v>
      </c>
      <c r="T21" s="18" t="str">
        <f aca="false">TEXT(P21,"YYYY-MM")</f>
        <v>2026-01</v>
      </c>
      <c r="U21" s="18" t="n">
        <f aca="false">RANK(S21,$S$2:$S$670)+COUNTIF($S$2:S21,S21)-1</f>
        <v>377</v>
      </c>
      <c r="V21" s="20" t="n">
        <f aca="false">ROUND((R21-Q21)*24,4)</f>
        <v>7</v>
      </c>
      <c r="W21" s="20" t="n">
        <f aca="false">ROUND((R21-P21)*24,4)</f>
        <v>8</v>
      </c>
      <c r="X21" s="18" t="str">
        <f aca="false">TEXT(P21,"dddd")</f>
        <v>Friday</v>
      </c>
      <c r="Y21" s="18" t="n">
        <f aca="false">HOUR(Q21)</f>
        <v>8</v>
      </c>
    </row>
    <row r="22" customFormat="false" ht="15" hidden="false" customHeight="false" outlineLevel="0" collapsed="false">
      <c r="A22" s="18" t="s">
        <v>35</v>
      </c>
      <c r="B22" s="18" t="s">
        <v>196</v>
      </c>
      <c r="C22" s="18" t="s">
        <v>197</v>
      </c>
      <c r="D22" s="18" t="s">
        <v>46</v>
      </c>
      <c r="E22" s="18" t="s">
        <v>198</v>
      </c>
      <c r="F22" s="18" t="n">
        <v>2514</v>
      </c>
      <c r="G22" s="18" t="s">
        <v>127</v>
      </c>
      <c r="H22" s="18" t="s">
        <v>173</v>
      </c>
      <c r="I22" s="18" t="s">
        <v>20</v>
      </c>
      <c r="J22" s="18" t="s">
        <v>13</v>
      </c>
      <c r="K22" s="18" t="s">
        <v>12</v>
      </c>
      <c r="L22" s="18" t="s">
        <v>125</v>
      </c>
      <c r="M22" s="18" t="s">
        <v>125</v>
      </c>
      <c r="N22" s="18" t="s">
        <v>144</v>
      </c>
      <c r="O22" s="18"/>
      <c r="P22" s="19" t="n">
        <v>46031.4583333333</v>
      </c>
      <c r="Q22" s="19" t="n">
        <v>46031.5</v>
      </c>
      <c r="R22" s="19" t="n">
        <v>46031.875</v>
      </c>
      <c r="S22" s="20" t="n">
        <f aca="false">ROUND((Q22-P22)*24,4)</f>
        <v>1</v>
      </c>
      <c r="T22" s="18" t="str">
        <f aca="false">TEXT(P22,"YYYY-MM")</f>
        <v>2026-01</v>
      </c>
      <c r="U22" s="18" t="n">
        <f aca="false">RANK(S22,$S$2:$S$670)+COUNTIF($S$2:S22,S22)-1</f>
        <v>378</v>
      </c>
      <c r="V22" s="20" t="n">
        <f aca="false">ROUND((R22-Q22)*24,4)</f>
        <v>9</v>
      </c>
      <c r="W22" s="20" t="n">
        <f aca="false">ROUND((R22-P22)*24,4)</f>
        <v>10</v>
      </c>
      <c r="X22" s="18" t="str">
        <f aca="false">TEXT(P22,"dddd")</f>
        <v>Friday</v>
      </c>
      <c r="Y22" s="18" t="n">
        <f aca="false">HOUR(Q22)</f>
        <v>12</v>
      </c>
    </row>
    <row r="23" customFormat="false" ht="15" hidden="false" customHeight="false" outlineLevel="0" collapsed="false">
      <c r="A23" s="18" t="s">
        <v>33</v>
      </c>
      <c r="B23" s="18" t="s">
        <v>194</v>
      </c>
      <c r="C23" s="18" t="s">
        <v>195</v>
      </c>
      <c r="D23" s="18" t="s">
        <v>46</v>
      </c>
      <c r="E23" s="18" t="s">
        <v>176</v>
      </c>
      <c r="F23" s="18" t="n">
        <v>2514</v>
      </c>
      <c r="G23" s="18" t="s">
        <v>125</v>
      </c>
      <c r="H23" s="18" t="s">
        <v>177</v>
      </c>
      <c r="I23" s="18" t="s">
        <v>18</v>
      </c>
      <c r="J23" s="18" t="s">
        <v>12</v>
      </c>
      <c r="K23" s="18" t="s">
        <v>13</v>
      </c>
      <c r="L23" s="18" t="s">
        <v>125</v>
      </c>
      <c r="M23" s="18" t="s">
        <v>125</v>
      </c>
      <c r="N23" s="18" t="s">
        <v>125</v>
      </c>
      <c r="O23" s="18"/>
      <c r="P23" s="19" t="n">
        <v>46031.7083333333</v>
      </c>
      <c r="Q23" s="19" t="n">
        <v>46031.8333333333</v>
      </c>
      <c r="R23" s="19" t="n">
        <v>46032.4166666667</v>
      </c>
      <c r="S23" s="20" t="n">
        <f aca="false">ROUND((Q23-P23)*24,4)</f>
        <v>3</v>
      </c>
      <c r="T23" s="18" t="str">
        <f aca="false">TEXT(P23,"YYYY-MM")</f>
        <v>2026-01</v>
      </c>
      <c r="U23" s="18" t="n">
        <f aca="false">RANK(S23,$S$2:$S$670)+COUNTIF($S$2:S23,S23)-1</f>
        <v>271</v>
      </c>
      <c r="V23" s="20" t="n">
        <f aca="false">ROUND((R23-Q23)*24,4)</f>
        <v>14</v>
      </c>
      <c r="W23" s="20" t="n">
        <f aca="false">ROUND((R23-P23)*24,4)</f>
        <v>17</v>
      </c>
      <c r="X23" s="18" t="str">
        <f aca="false">TEXT(P23,"dddd")</f>
        <v>Friday</v>
      </c>
      <c r="Y23" s="18" t="n">
        <f aca="false">HOUR(Q23)</f>
        <v>20</v>
      </c>
    </row>
    <row r="24" customFormat="false" ht="15" hidden="false" customHeight="false" outlineLevel="0" collapsed="false">
      <c r="A24" s="18" t="s">
        <v>37</v>
      </c>
      <c r="B24" s="18" t="s">
        <v>192</v>
      </c>
      <c r="C24" s="18" t="s">
        <v>193</v>
      </c>
      <c r="D24" s="18" t="s">
        <v>46</v>
      </c>
      <c r="E24" s="18" t="s">
        <v>185</v>
      </c>
      <c r="F24" s="18" t="n">
        <v>2515</v>
      </c>
      <c r="G24" s="18" t="s">
        <v>125</v>
      </c>
      <c r="H24" s="18" t="s">
        <v>187</v>
      </c>
      <c r="I24" s="18" t="s">
        <v>20</v>
      </c>
      <c r="J24" s="18" t="s">
        <v>13</v>
      </c>
      <c r="K24" s="18" t="s">
        <v>165</v>
      </c>
      <c r="L24" s="18" t="s">
        <v>125</v>
      </c>
      <c r="M24" s="18" t="s">
        <v>125</v>
      </c>
      <c r="N24" s="18" t="s">
        <v>125</v>
      </c>
      <c r="O24" s="18"/>
      <c r="P24" s="19" t="n">
        <v>46031.9166666667</v>
      </c>
      <c r="Q24" s="19" t="n">
        <v>46033.0208333333</v>
      </c>
      <c r="R24" s="19" t="n">
        <v>46033.5416666667</v>
      </c>
      <c r="S24" s="20" t="n">
        <f aca="false">ROUND((Q24-P24)*24,4)</f>
        <v>26.5</v>
      </c>
      <c r="T24" s="18" t="str">
        <f aca="false">TEXT(P24,"YYYY-MM")</f>
        <v>2026-01</v>
      </c>
      <c r="U24" s="18" t="n">
        <f aca="false">RANK(S24,$S$2:$S$670)+COUNTIF($S$2:S24,S24)-1</f>
        <v>30</v>
      </c>
      <c r="V24" s="20" t="n">
        <f aca="false">ROUND((R24-Q24)*24,4)</f>
        <v>12.5</v>
      </c>
      <c r="W24" s="20" t="n">
        <f aca="false">ROUND((R24-P24)*24,4)</f>
        <v>39</v>
      </c>
      <c r="X24" s="18" t="str">
        <f aca="false">TEXT(P24,"dddd")</f>
        <v>Friday</v>
      </c>
      <c r="Y24" s="18" t="n">
        <f aca="false">HOUR(Q24)</f>
        <v>0</v>
      </c>
    </row>
    <row r="25" customFormat="false" ht="15" hidden="false" customHeight="false" outlineLevel="0" collapsed="false">
      <c r="A25" s="18" t="s">
        <v>35</v>
      </c>
      <c r="B25" s="18" t="s">
        <v>196</v>
      </c>
      <c r="C25" s="18" t="s">
        <v>197</v>
      </c>
      <c r="D25" s="18" t="s">
        <v>46</v>
      </c>
      <c r="E25" s="18" t="s">
        <v>168</v>
      </c>
      <c r="F25" s="18" t="n">
        <v>2514</v>
      </c>
      <c r="G25" s="18" t="s">
        <v>125</v>
      </c>
      <c r="H25" s="18" t="s">
        <v>177</v>
      </c>
      <c r="I25" s="18" t="s">
        <v>19</v>
      </c>
      <c r="J25" s="18" t="s">
        <v>12</v>
      </c>
      <c r="K25" s="18" t="s">
        <v>13</v>
      </c>
      <c r="L25" s="18" t="s">
        <v>125</v>
      </c>
      <c r="M25" s="18" t="s">
        <v>125</v>
      </c>
      <c r="N25" s="18" t="s">
        <v>125</v>
      </c>
      <c r="O25" s="18"/>
      <c r="P25" s="19" t="n">
        <v>46031.9583333333</v>
      </c>
      <c r="Q25" s="19" t="n">
        <v>46032.4583333333</v>
      </c>
      <c r="R25" s="19" t="n">
        <v>46034.0416666667</v>
      </c>
      <c r="S25" s="20" t="n">
        <f aca="false">ROUND((Q25-P25)*24,4)</f>
        <v>12</v>
      </c>
      <c r="T25" s="18" t="str">
        <f aca="false">TEXT(P25,"YYYY-MM")</f>
        <v>2026-01</v>
      </c>
      <c r="U25" s="18" t="n">
        <f aca="false">RANK(S25,$S$2:$S$670)+COUNTIF($S$2:S25,S25)-1</f>
        <v>115</v>
      </c>
      <c r="V25" s="20" t="n">
        <f aca="false">ROUND((R25-Q25)*24,4)</f>
        <v>38</v>
      </c>
      <c r="W25" s="20" t="n">
        <f aca="false">ROUND((R25-P25)*24,4)</f>
        <v>50</v>
      </c>
      <c r="X25" s="18" t="str">
        <f aca="false">TEXT(P25,"dddd")</f>
        <v>Friday</v>
      </c>
      <c r="Y25" s="18" t="n">
        <f aca="false">HOUR(Q25)</f>
        <v>11</v>
      </c>
    </row>
    <row r="26" customFormat="false" ht="15" hidden="false" customHeight="false" outlineLevel="0" collapsed="false">
      <c r="A26" s="18" t="s">
        <v>36</v>
      </c>
      <c r="B26" s="18" t="s">
        <v>199</v>
      </c>
      <c r="C26" s="18" t="s">
        <v>200</v>
      </c>
      <c r="D26" s="18" t="s">
        <v>46</v>
      </c>
      <c r="E26" s="18" t="s">
        <v>168</v>
      </c>
      <c r="F26" s="18" t="n">
        <v>2537</v>
      </c>
      <c r="G26" s="18" t="s">
        <v>127</v>
      </c>
      <c r="H26" s="18" t="s">
        <v>201</v>
      </c>
      <c r="I26" s="18" t="s">
        <v>23</v>
      </c>
      <c r="J26" s="18" t="s">
        <v>13</v>
      </c>
      <c r="K26" s="18" t="s">
        <v>12</v>
      </c>
      <c r="L26" s="18" t="s">
        <v>125</v>
      </c>
      <c r="M26" s="18" t="s">
        <v>125</v>
      </c>
      <c r="N26" s="18" t="s">
        <v>125</v>
      </c>
      <c r="O26" s="18"/>
      <c r="P26" s="19" t="n">
        <v>46032.2916666667</v>
      </c>
      <c r="Q26" s="19" t="n">
        <v>46032.3333333333</v>
      </c>
      <c r="R26" s="19" t="n">
        <v>46032.625</v>
      </c>
      <c r="S26" s="20" t="n">
        <f aca="false">ROUND((Q26-P26)*24,4)</f>
        <v>1</v>
      </c>
      <c r="T26" s="18" t="str">
        <f aca="false">TEXT(P26,"YYYY-MM")</f>
        <v>2026-01</v>
      </c>
      <c r="U26" s="18" t="n">
        <f aca="false">RANK(S26,$S$2:$S$670)+COUNTIF($S$2:S26,S26)-1</f>
        <v>379</v>
      </c>
      <c r="V26" s="20" t="n">
        <f aca="false">ROUND((R26-Q26)*24,4)</f>
        <v>7</v>
      </c>
      <c r="W26" s="20" t="n">
        <f aca="false">ROUND((R26-P26)*24,4)</f>
        <v>8</v>
      </c>
      <c r="X26" s="18" t="str">
        <f aca="false">TEXT(P26,"dddd")</f>
        <v>Saturday</v>
      </c>
      <c r="Y26" s="18" t="n">
        <f aca="false">HOUR(Q26)</f>
        <v>8</v>
      </c>
    </row>
    <row r="27" customFormat="false" ht="15" hidden="false" customHeight="false" outlineLevel="0" collapsed="false">
      <c r="A27" s="18" t="s">
        <v>33</v>
      </c>
      <c r="B27" s="18" t="s">
        <v>194</v>
      </c>
      <c r="C27" s="18" t="s">
        <v>195</v>
      </c>
      <c r="D27" s="18" t="s">
        <v>46</v>
      </c>
      <c r="E27" s="18" t="s">
        <v>185</v>
      </c>
      <c r="F27" s="18" t="n">
        <v>2514</v>
      </c>
      <c r="G27" s="18" t="s">
        <v>125</v>
      </c>
      <c r="H27" s="18" t="s">
        <v>177</v>
      </c>
      <c r="I27" s="18" t="s">
        <v>23</v>
      </c>
      <c r="J27" s="18" t="s">
        <v>13</v>
      </c>
      <c r="K27" s="18" t="s">
        <v>165</v>
      </c>
      <c r="L27" s="18" t="s">
        <v>125</v>
      </c>
      <c r="M27" s="18" t="s">
        <v>125</v>
      </c>
      <c r="N27" s="18" t="s">
        <v>125</v>
      </c>
      <c r="O27" s="18"/>
      <c r="P27" s="19" t="n">
        <v>46032.5833333333</v>
      </c>
      <c r="Q27" s="19" t="n">
        <v>46032.6666666667</v>
      </c>
      <c r="R27" s="19" t="n">
        <v>46032.9583333333</v>
      </c>
      <c r="S27" s="20" t="n">
        <f aca="false">ROUND((Q27-P27)*24,4)</f>
        <v>2</v>
      </c>
      <c r="T27" s="18" t="str">
        <f aca="false">TEXT(P27,"YYYY-MM")</f>
        <v>2026-01</v>
      </c>
      <c r="U27" s="18" t="n">
        <f aca="false">RANK(S27,$S$2:$S$670)+COUNTIF($S$2:S27,S27)-1</f>
        <v>317</v>
      </c>
      <c r="V27" s="20" t="n">
        <f aca="false">ROUND((R27-Q27)*24,4)</f>
        <v>7</v>
      </c>
      <c r="W27" s="20" t="n">
        <f aca="false">ROUND((R27-P27)*24,4)</f>
        <v>9</v>
      </c>
      <c r="X27" s="18" t="str">
        <f aca="false">TEXT(P27,"dddd")</f>
        <v>Saturday</v>
      </c>
      <c r="Y27" s="18" t="n">
        <f aca="false">HOUR(Q27)</f>
        <v>16</v>
      </c>
    </row>
    <row r="28" customFormat="false" ht="15" hidden="false" customHeight="false" outlineLevel="0" collapsed="false">
      <c r="A28" s="18" t="s">
        <v>36</v>
      </c>
      <c r="B28" s="18" t="s">
        <v>199</v>
      </c>
      <c r="C28" s="18" t="s">
        <v>200</v>
      </c>
      <c r="D28" s="18" t="s">
        <v>46</v>
      </c>
      <c r="E28" s="18" t="s">
        <v>163</v>
      </c>
      <c r="F28" s="18" t="n">
        <v>2537</v>
      </c>
      <c r="G28" s="18" t="s">
        <v>125</v>
      </c>
      <c r="H28" s="18" t="s">
        <v>202</v>
      </c>
      <c r="I28" s="18" t="s">
        <v>17</v>
      </c>
      <c r="J28" s="18" t="s">
        <v>12</v>
      </c>
      <c r="K28" s="18" t="s">
        <v>13</v>
      </c>
      <c r="L28" s="18" t="s">
        <v>125</v>
      </c>
      <c r="M28" s="18" t="s">
        <v>125</v>
      </c>
      <c r="N28" s="18" t="s">
        <v>125</v>
      </c>
      <c r="O28" s="18"/>
      <c r="P28" s="19" t="n">
        <v>46032.7083333333</v>
      </c>
      <c r="Q28" s="19" t="n">
        <v>46033.5</v>
      </c>
      <c r="R28" s="19" t="n">
        <v>46035.2083333333</v>
      </c>
      <c r="S28" s="20" t="n">
        <f aca="false">ROUND((Q28-P28)*24,4)</f>
        <v>19</v>
      </c>
      <c r="T28" s="18" t="str">
        <f aca="false">TEXT(P28,"YYYY-MM")</f>
        <v>2026-01</v>
      </c>
      <c r="U28" s="18" t="n">
        <f aca="false">RANK(S28,$S$2:$S$670)+COUNTIF($S$2:S28,S28)-1</f>
        <v>53</v>
      </c>
      <c r="V28" s="20" t="n">
        <f aca="false">ROUND((R28-Q28)*24,4)</f>
        <v>41</v>
      </c>
      <c r="W28" s="20" t="n">
        <f aca="false">ROUND((R28-P28)*24,4)</f>
        <v>60</v>
      </c>
      <c r="X28" s="18" t="str">
        <f aca="false">TEXT(P28,"dddd")</f>
        <v>Saturday</v>
      </c>
      <c r="Y28" s="18" t="n">
        <f aca="false">HOUR(Q28)</f>
        <v>12</v>
      </c>
    </row>
    <row r="29" customFormat="false" ht="15" hidden="false" customHeight="false" outlineLevel="0" collapsed="false">
      <c r="A29" s="18" t="s">
        <v>31</v>
      </c>
      <c r="B29" s="18" t="s">
        <v>203</v>
      </c>
      <c r="C29" s="18" t="s">
        <v>204</v>
      </c>
      <c r="D29" s="18" t="s">
        <v>48</v>
      </c>
      <c r="E29" s="18" t="s">
        <v>198</v>
      </c>
      <c r="F29" s="18" t="n">
        <v>2517</v>
      </c>
      <c r="G29" s="18" t="s">
        <v>127</v>
      </c>
      <c r="H29" s="18" t="s">
        <v>205</v>
      </c>
      <c r="I29" s="18" t="s">
        <v>24</v>
      </c>
      <c r="J29" s="18" t="s">
        <v>13</v>
      </c>
      <c r="K29" s="18" t="s">
        <v>12</v>
      </c>
      <c r="L29" s="18" t="s">
        <v>144</v>
      </c>
      <c r="M29" s="18" t="s">
        <v>125</v>
      </c>
      <c r="N29" s="18" t="s">
        <v>125</v>
      </c>
      <c r="O29" s="18" t="s">
        <v>206</v>
      </c>
      <c r="P29" s="19" t="n">
        <v>46033.6465277778</v>
      </c>
      <c r="Q29" s="19" t="n">
        <v>46033.6472222222</v>
      </c>
      <c r="R29" s="19" t="n">
        <v>46033.6479166667</v>
      </c>
      <c r="S29" s="20" t="n">
        <f aca="false">ROUND((Q29-P29)*24,4)</f>
        <v>0.0167</v>
      </c>
      <c r="T29" s="18" t="str">
        <f aca="false">TEXT(P29,"YYYY-MM")</f>
        <v>2026-01</v>
      </c>
      <c r="U29" s="18" t="n">
        <f aca="false">RANK(S29,$S$2:$S$670)+COUNTIF($S$2:S29,S29)-1</f>
        <v>624</v>
      </c>
      <c r="V29" s="20" t="n">
        <f aca="false">ROUND((R29-Q29)*24,4)</f>
        <v>0.0167</v>
      </c>
      <c r="W29" s="20" t="n">
        <f aca="false">ROUND((R29-P29)*24,4)</f>
        <v>0.0333</v>
      </c>
      <c r="X29" s="18" t="str">
        <f aca="false">TEXT(P29,"dddd")</f>
        <v>Sunday</v>
      </c>
      <c r="Y29" s="18" t="n">
        <f aca="false">HOUR(Q29)</f>
        <v>15</v>
      </c>
    </row>
    <row r="30" customFormat="false" ht="15" hidden="false" customHeight="false" outlineLevel="0" collapsed="false">
      <c r="A30" s="18" t="s">
        <v>31</v>
      </c>
      <c r="B30" s="18" t="s">
        <v>203</v>
      </c>
      <c r="C30" s="18" t="s">
        <v>204</v>
      </c>
      <c r="D30" s="18" t="s">
        <v>48</v>
      </c>
      <c r="E30" s="18" t="s">
        <v>168</v>
      </c>
      <c r="F30" s="18" t="n">
        <v>2517</v>
      </c>
      <c r="G30" s="18" t="s">
        <v>125</v>
      </c>
      <c r="H30" s="18" t="s">
        <v>207</v>
      </c>
      <c r="I30" s="18" t="s">
        <v>18</v>
      </c>
      <c r="J30" s="18" t="s">
        <v>12</v>
      </c>
      <c r="K30" s="18" t="s">
        <v>13</v>
      </c>
      <c r="L30" s="18" t="s">
        <v>144</v>
      </c>
      <c r="M30" s="18" t="s">
        <v>125</v>
      </c>
      <c r="N30" s="18" t="s">
        <v>125</v>
      </c>
      <c r="O30" s="18" t="s">
        <v>206</v>
      </c>
      <c r="P30" s="19" t="n">
        <v>46033.6486111111</v>
      </c>
      <c r="Q30" s="19" t="n">
        <v>46033.6493055556</v>
      </c>
      <c r="R30" s="19" t="n">
        <v>46033.65</v>
      </c>
      <c r="S30" s="20" t="n">
        <f aca="false">ROUND((Q30-P30)*24,4)</f>
        <v>0.0167</v>
      </c>
      <c r="T30" s="18" t="str">
        <f aca="false">TEXT(P30,"YYYY-MM")</f>
        <v>2026-01</v>
      </c>
      <c r="U30" s="18" t="n">
        <f aca="false">RANK(S30,$S$2:$S$670)+COUNTIF($S$2:S30,S30)-1</f>
        <v>625</v>
      </c>
      <c r="V30" s="20" t="n">
        <f aca="false">ROUND((R30-Q30)*24,4)</f>
        <v>0.0167</v>
      </c>
      <c r="W30" s="20" t="n">
        <f aca="false">ROUND((R30-P30)*24,4)</f>
        <v>0.0333</v>
      </c>
      <c r="X30" s="18" t="str">
        <f aca="false">TEXT(P30,"dddd")</f>
        <v>Sunday</v>
      </c>
      <c r="Y30" s="18" t="n">
        <f aca="false">HOUR(Q30)</f>
        <v>15</v>
      </c>
    </row>
    <row r="31" customFormat="false" ht="15" hidden="false" customHeight="false" outlineLevel="0" collapsed="false">
      <c r="A31" s="18" t="s">
        <v>37</v>
      </c>
      <c r="B31" s="18" t="s">
        <v>208</v>
      </c>
      <c r="C31" s="18" t="s">
        <v>209</v>
      </c>
      <c r="D31" s="18" t="s">
        <v>46</v>
      </c>
      <c r="E31" s="18" t="s">
        <v>163</v>
      </c>
      <c r="F31" s="18" t="n">
        <v>2526</v>
      </c>
      <c r="G31" s="18" t="s">
        <v>127</v>
      </c>
      <c r="H31" s="18" t="s">
        <v>210</v>
      </c>
      <c r="I31" s="18" t="s">
        <v>20</v>
      </c>
      <c r="J31" s="18" t="s">
        <v>13</v>
      </c>
      <c r="K31" s="18" t="s">
        <v>12</v>
      </c>
      <c r="L31" s="18" t="s">
        <v>125</v>
      </c>
      <c r="M31" s="18" t="s">
        <v>125</v>
      </c>
      <c r="N31" s="18" t="s">
        <v>125</v>
      </c>
      <c r="O31" s="18"/>
      <c r="P31" s="19" t="n">
        <v>46033.7708333333</v>
      </c>
      <c r="Q31" s="19" t="n">
        <v>46033.8125</v>
      </c>
      <c r="R31" s="19" t="n">
        <v>46034.2916666667</v>
      </c>
      <c r="S31" s="20" t="n">
        <f aca="false">ROUND((Q31-P31)*24,4)</f>
        <v>1</v>
      </c>
      <c r="T31" s="18" t="str">
        <f aca="false">TEXT(P31,"YYYY-MM")</f>
        <v>2026-01</v>
      </c>
      <c r="U31" s="18" t="n">
        <f aca="false">RANK(S31,$S$2:$S$670)+COUNTIF($S$2:S31,S31)-1</f>
        <v>380</v>
      </c>
      <c r="V31" s="20" t="n">
        <f aca="false">ROUND((R31-Q31)*24,4)</f>
        <v>11.5</v>
      </c>
      <c r="W31" s="20" t="n">
        <f aca="false">ROUND((R31-P31)*24,4)</f>
        <v>12.5</v>
      </c>
      <c r="X31" s="18" t="str">
        <f aca="false">TEXT(P31,"dddd")</f>
        <v>Sunday</v>
      </c>
      <c r="Y31" s="18" t="n">
        <f aca="false">HOUR(Q31)</f>
        <v>19</v>
      </c>
    </row>
    <row r="32" customFormat="false" ht="15" hidden="false" customHeight="false" outlineLevel="0" collapsed="false">
      <c r="A32" s="18" t="s">
        <v>38</v>
      </c>
      <c r="B32" s="18" t="s">
        <v>211</v>
      </c>
      <c r="C32" s="18" t="s">
        <v>212</v>
      </c>
      <c r="D32" s="18" t="s">
        <v>47</v>
      </c>
      <c r="E32" s="18" t="s">
        <v>163</v>
      </c>
      <c r="F32" s="18" t="n">
        <v>2510</v>
      </c>
      <c r="G32" s="18" t="s">
        <v>127</v>
      </c>
      <c r="H32" s="18" t="s">
        <v>180</v>
      </c>
      <c r="I32" s="18" t="s">
        <v>23</v>
      </c>
      <c r="J32" s="18" t="s">
        <v>13</v>
      </c>
      <c r="K32" s="18" t="s">
        <v>181</v>
      </c>
      <c r="L32" s="18" t="s">
        <v>125</v>
      </c>
      <c r="M32" s="18" t="s">
        <v>125</v>
      </c>
      <c r="N32" s="18" t="s">
        <v>125</v>
      </c>
      <c r="O32" s="18"/>
      <c r="P32" s="19" t="n">
        <v>46033.9833333333</v>
      </c>
      <c r="Q32" s="19" t="n">
        <v>46034.0416666667</v>
      </c>
      <c r="R32" s="19" t="n">
        <v>46034.7916666667</v>
      </c>
      <c r="S32" s="20" t="n">
        <f aca="false">ROUND((Q32-P32)*24,4)</f>
        <v>1.4</v>
      </c>
      <c r="T32" s="18" t="str">
        <f aca="false">TEXT(P32,"YYYY-MM")</f>
        <v>2026-01</v>
      </c>
      <c r="U32" s="18" t="n">
        <f aca="false">RANK(S32,$S$2:$S$670)+COUNTIF($S$2:S32,S32)-1</f>
        <v>362</v>
      </c>
      <c r="V32" s="20" t="n">
        <f aca="false">ROUND((R32-Q32)*24,4)</f>
        <v>18</v>
      </c>
      <c r="W32" s="20" t="n">
        <f aca="false">ROUND((R32-P32)*24,4)</f>
        <v>19.4</v>
      </c>
      <c r="X32" s="18" t="str">
        <f aca="false">TEXT(P32,"dddd")</f>
        <v>Sunday</v>
      </c>
      <c r="Y32" s="18" t="n">
        <f aca="false">HOUR(Q32)</f>
        <v>1</v>
      </c>
    </row>
    <row r="33" customFormat="false" ht="15" hidden="false" customHeight="false" outlineLevel="0" collapsed="false">
      <c r="A33" s="18" t="s">
        <v>39</v>
      </c>
      <c r="B33" s="18" t="s">
        <v>213</v>
      </c>
      <c r="C33" s="18" t="s">
        <v>214</v>
      </c>
      <c r="D33" s="18" t="s">
        <v>50</v>
      </c>
      <c r="E33" s="18" t="s">
        <v>176</v>
      </c>
      <c r="F33" s="18" t="n">
        <v>2512</v>
      </c>
      <c r="G33" s="18" t="s">
        <v>125</v>
      </c>
      <c r="H33" s="18" t="s">
        <v>215</v>
      </c>
      <c r="I33" s="18" t="s">
        <v>21</v>
      </c>
      <c r="J33" s="18" t="s">
        <v>13</v>
      </c>
      <c r="K33" s="18" t="s">
        <v>216</v>
      </c>
      <c r="L33" s="18" t="s">
        <v>125</v>
      </c>
      <c r="M33" s="18" t="s">
        <v>125</v>
      </c>
      <c r="N33" s="18" t="s">
        <v>125</v>
      </c>
      <c r="O33" s="18"/>
      <c r="P33" s="19" t="n">
        <v>46034.0208333333</v>
      </c>
      <c r="Q33" s="19" t="n">
        <v>46034.0666666667</v>
      </c>
      <c r="R33" s="19" t="n">
        <v>46035.0208333333</v>
      </c>
      <c r="S33" s="20" t="n">
        <f aca="false">ROUND((Q33-P33)*24,4)</f>
        <v>1.1</v>
      </c>
      <c r="T33" s="18" t="str">
        <f aca="false">TEXT(P33,"YYYY-MM")</f>
        <v>2026-01</v>
      </c>
      <c r="U33" s="18" t="n">
        <f aca="false">RANK(S33,$S$2:$S$670)+COUNTIF($S$2:S33,S33)-1</f>
        <v>366</v>
      </c>
      <c r="V33" s="20" t="n">
        <f aca="false">ROUND((R33-Q33)*24,4)</f>
        <v>22.9</v>
      </c>
      <c r="W33" s="20" t="n">
        <f aca="false">ROUND((R33-P33)*24,4)</f>
        <v>24</v>
      </c>
      <c r="X33" s="18" t="str">
        <f aca="false">TEXT(P33,"dddd")</f>
        <v>Monday</v>
      </c>
      <c r="Y33" s="18" t="n">
        <f aca="false">HOUR(Q33)</f>
        <v>1</v>
      </c>
    </row>
    <row r="34" customFormat="false" ht="15" hidden="false" customHeight="false" outlineLevel="0" collapsed="false">
      <c r="A34" s="18" t="s">
        <v>35</v>
      </c>
      <c r="B34" s="18" t="s">
        <v>196</v>
      </c>
      <c r="C34" s="18" t="s">
        <v>197</v>
      </c>
      <c r="D34" s="18" t="s">
        <v>46</v>
      </c>
      <c r="E34" s="18" t="s">
        <v>163</v>
      </c>
      <c r="F34" s="18" t="n">
        <v>2514</v>
      </c>
      <c r="G34" s="18" t="s">
        <v>125</v>
      </c>
      <c r="H34" s="18" t="s">
        <v>177</v>
      </c>
      <c r="I34" s="18" t="s">
        <v>20</v>
      </c>
      <c r="J34" s="18" t="s">
        <v>13</v>
      </c>
      <c r="K34" s="18" t="s">
        <v>186</v>
      </c>
      <c r="L34" s="18" t="s">
        <v>125</v>
      </c>
      <c r="M34" s="18" t="s">
        <v>144</v>
      </c>
      <c r="N34" s="18" t="s">
        <v>125</v>
      </c>
      <c r="O34" s="18"/>
      <c r="P34" s="19" t="n">
        <v>46034.25</v>
      </c>
      <c r="Q34" s="19" t="n">
        <v>46034.4583333333</v>
      </c>
      <c r="R34" s="19" t="n">
        <v>46035.125</v>
      </c>
      <c r="S34" s="20" t="n">
        <f aca="false">ROUND((Q34-P34)*24,4)</f>
        <v>5</v>
      </c>
      <c r="T34" s="18" t="str">
        <f aca="false">TEXT(P34,"YYYY-MM")</f>
        <v>2026-01</v>
      </c>
      <c r="U34" s="18" t="n">
        <f aca="false">RANK(S34,$S$2:$S$670)+COUNTIF($S$2:S34,S34)-1</f>
        <v>223</v>
      </c>
      <c r="V34" s="20" t="n">
        <f aca="false">ROUND((R34-Q34)*24,4)</f>
        <v>16</v>
      </c>
      <c r="W34" s="20" t="n">
        <f aca="false">ROUND((R34-P34)*24,4)</f>
        <v>21</v>
      </c>
      <c r="X34" s="18" t="str">
        <f aca="false">TEXT(P34,"dddd")</f>
        <v>Monday</v>
      </c>
      <c r="Y34" s="18" t="n">
        <f aca="false">HOUR(Q34)</f>
        <v>11</v>
      </c>
    </row>
    <row r="35" customFormat="false" ht="15" hidden="false" customHeight="false" outlineLevel="0" collapsed="false">
      <c r="A35" s="18" t="s">
        <v>37</v>
      </c>
      <c r="B35" s="18" t="s">
        <v>208</v>
      </c>
      <c r="C35" s="18" t="s">
        <v>209</v>
      </c>
      <c r="D35" s="18" t="s">
        <v>46</v>
      </c>
      <c r="E35" s="18" t="s">
        <v>176</v>
      </c>
      <c r="F35" s="18" t="n">
        <v>2526</v>
      </c>
      <c r="G35" s="18" t="s">
        <v>125</v>
      </c>
      <c r="H35" s="18" t="s">
        <v>217</v>
      </c>
      <c r="I35" s="18" t="s">
        <v>19</v>
      </c>
      <c r="J35" s="18" t="s">
        <v>12</v>
      </c>
      <c r="K35" s="18" t="s">
        <v>13</v>
      </c>
      <c r="L35" s="18" t="s">
        <v>125</v>
      </c>
      <c r="M35" s="18" t="s">
        <v>125</v>
      </c>
      <c r="N35" s="18" t="s">
        <v>125</v>
      </c>
      <c r="O35" s="18"/>
      <c r="P35" s="19" t="n">
        <v>46034.375</v>
      </c>
      <c r="Q35" s="19" t="n">
        <v>46035.375</v>
      </c>
      <c r="R35" s="19" t="n">
        <v>46037.2083333333</v>
      </c>
      <c r="S35" s="20" t="n">
        <f aca="false">ROUND((Q35-P35)*24,4)</f>
        <v>24</v>
      </c>
      <c r="T35" s="18" t="str">
        <f aca="false">TEXT(P35,"YYYY-MM")</f>
        <v>2026-01</v>
      </c>
      <c r="U35" s="18" t="n">
        <f aca="false">RANK(S35,$S$2:$S$670)+COUNTIF($S$2:S35,S35)-1</f>
        <v>35</v>
      </c>
      <c r="V35" s="20" t="n">
        <f aca="false">ROUND((R35-Q35)*24,4)</f>
        <v>44</v>
      </c>
      <c r="W35" s="20" t="n">
        <f aca="false">ROUND((R35-P35)*24,4)</f>
        <v>68</v>
      </c>
      <c r="X35" s="18" t="str">
        <f aca="false">TEXT(P35,"dddd")</f>
        <v>Monday</v>
      </c>
      <c r="Y35" s="18" t="n">
        <f aca="false">HOUR(Q35)</f>
        <v>9</v>
      </c>
    </row>
    <row r="36" customFormat="false" ht="15" hidden="false" customHeight="false" outlineLevel="0" collapsed="false">
      <c r="A36" s="18" t="s">
        <v>36</v>
      </c>
      <c r="B36" s="18" t="s">
        <v>199</v>
      </c>
      <c r="C36" s="18" t="s">
        <v>200</v>
      </c>
      <c r="D36" s="18" t="s">
        <v>46</v>
      </c>
      <c r="E36" s="18" t="s">
        <v>176</v>
      </c>
      <c r="F36" s="18" t="n">
        <v>2537</v>
      </c>
      <c r="G36" s="18" t="s">
        <v>125</v>
      </c>
      <c r="H36" s="18" t="s">
        <v>202</v>
      </c>
      <c r="I36" s="18" t="s">
        <v>23</v>
      </c>
      <c r="J36" s="18" t="s">
        <v>13</v>
      </c>
      <c r="K36" s="18" t="s">
        <v>186</v>
      </c>
      <c r="L36" s="18" t="s">
        <v>125</v>
      </c>
      <c r="M36" s="18" t="s">
        <v>125</v>
      </c>
      <c r="N36" s="18" t="s">
        <v>125</v>
      </c>
      <c r="O36" s="18"/>
      <c r="P36" s="19" t="n">
        <v>46035.4166666667</v>
      </c>
      <c r="Q36" s="19" t="n">
        <v>46035.4583333333</v>
      </c>
      <c r="R36" s="19" t="n">
        <v>46035.875</v>
      </c>
      <c r="S36" s="20" t="n">
        <f aca="false">ROUND((Q36-P36)*24,4)</f>
        <v>1</v>
      </c>
      <c r="T36" s="18" t="str">
        <f aca="false">TEXT(P36,"YYYY-MM")</f>
        <v>2026-01</v>
      </c>
      <c r="U36" s="18" t="n">
        <f aca="false">RANK(S36,$S$2:$S$670)+COUNTIF($S$2:S36,S36)-1</f>
        <v>381</v>
      </c>
      <c r="V36" s="20" t="n">
        <f aca="false">ROUND((R36-Q36)*24,4)</f>
        <v>10</v>
      </c>
      <c r="W36" s="20" t="n">
        <f aca="false">ROUND((R36-P36)*24,4)</f>
        <v>11</v>
      </c>
      <c r="X36" s="18" t="str">
        <f aca="false">TEXT(P36,"dddd")</f>
        <v>Tuesday</v>
      </c>
      <c r="Y36" s="18" t="n">
        <f aca="false">HOUR(Q36)</f>
        <v>11</v>
      </c>
    </row>
    <row r="37" customFormat="false" ht="15" hidden="false" customHeight="false" outlineLevel="0" collapsed="false">
      <c r="A37" s="18" t="s">
        <v>31</v>
      </c>
      <c r="B37" s="18" t="s">
        <v>218</v>
      </c>
      <c r="C37" s="18" t="s">
        <v>219</v>
      </c>
      <c r="D37" s="18" t="s">
        <v>54</v>
      </c>
      <c r="E37" s="18" t="s">
        <v>198</v>
      </c>
      <c r="F37" s="18" t="n">
        <v>1058</v>
      </c>
      <c r="G37" s="18" t="s">
        <v>127</v>
      </c>
      <c r="H37" s="18" t="s">
        <v>220</v>
      </c>
      <c r="I37" s="18" t="s">
        <v>24</v>
      </c>
      <c r="J37" s="18" t="s">
        <v>13</v>
      </c>
      <c r="K37" s="18" t="s">
        <v>12</v>
      </c>
      <c r="L37" s="18" t="s">
        <v>144</v>
      </c>
      <c r="M37" s="18" t="s">
        <v>125</v>
      </c>
      <c r="N37" s="18" t="s">
        <v>125</v>
      </c>
      <c r="O37" s="18" t="s">
        <v>221</v>
      </c>
      <c r="P37" s="19" t="n">
        <v>46036.6673611111</v>
      </c>
      <c r="Q37" s="19" t="n">
        <v>46036.6680555556</v>
      </c>
      <c r="R37" s="19" t="n">
        <v>46036.66875</v>
      </c>
      <c r="S37" s="20" t="n">
        <f aca="false">ROUND((Q37-P37)*24,4)</f>
        <v>0.0167</v>
      </c>
      <c r="T37" s="18" t="str">
        <f aca="false">TEXT(P37,"YYYY-MM")</f>
        <v>2026-01</v>
      </c>
      <c r="U37" s="18" t="n">
        <f aca="false">RANK(S37,$S$2:$S$670)+COUNTIF($S$2:S37,S37)-1</f>
        <v>626</v>
      </c>
      <c r="V37" s="20" t="n">
        <f aca="false">ROUND((R37-Q37)*24,4)</f>
        <v>0.0167</v>
      </c>
      <c r="W37" s="20" t="n">
        <f aca="false">ROUND((R37-P37)*24,4)</f>
        <v>0.0333</v>
      </c>
      <c r="X37" s="18" t="str">
        <f aca="false">TEXT(P37,"dddd")</f>
        <v>Wednesday</v>
      </c>
      <c r="Y37" s="18" t="n">
        <f aca="false">HOUR(Q37)</f>
        <v>16</v>
      </c>
    </row>
    <row r="38" customFormat="false" ht="15" hidden="false" customHeight="false" outlineLevel="0" collapsed="false">
      <c r="A38" s="18" t="s">
        <v>31</v>
      </c>
      <c r="B38" s="18" t="s">
        <v>218</v>
      </c>
      <c r="C38" s="18" t="s">
        <v>219</v>
      </c>
      <c r="D38" s="18" t="s">
        <v>54</v>
      </c>
      <c r="E38" s="18" t="s">
        <v>168</v>
      </c>
      <c r="F38" s="18" t="n">
        <v>1058</v>
      </c>
      <c r="G38" s="18" t="s">
        <v>125</v>
      </c>
      <c r="H38" s="18" t="s">
        <v>222</v>
      </c>
      <c r="I38" s="18" t="s">
        <v>18</v>
      </c>
      <c r="J38" s="18" t="s">
        <v>12</v>
      </c>
      <c r="K38" s="18" t="s">
        <v>13</v>
      </c>
      <c r="L38" s="18" t="s">
        <v>144</v>
      </c>
      <c r="M38" s="18" t="s">
        <v>125</v>
      </c>
      <c r="N38" s="18" t="s">
        <v>125</v>
      </c>
      <c r="O38" s="18" t="s">
        <v>221</v>
      </c>
      <c r="P38" s="19" t="n">
        <v>46036.6694444444</v>
      </c>
      <c r="Q38" s="19" t="n">
        <v>46036.6701388889</v>
      </c>
      <c r="R38" s="19" t="n">
        <v>46036.6708333333</v>
      </c>
      <c r="S38" s="20" t="n">
        <f aca="false">ROUND((Q38-P38)*24,4)</f>
        <v>0.0167</v>
      </c>
      <c r="T38" s="18" t="str">
        <f aca="false">TEXT(P38,"YYYY-MM")</f>
        <v>2026-01</v>
      </c>
      <c r="U38" s="18" t="n">
        <f aca="false">RANK(S38,$S$2:$S$670)+COUNTIF($S$2:S38,S38)-1</f>
        <v>627</v>
      </c>
      <c r="V38" s="20" t="n">
        <f aca="false">ROUND((R38-Q38)*24,4)</f>
        <v>0.0167</v>
      </c>
      <c r="W38" s="20" t="n">
        <f aca="false">ROUND((R38-P38)*24,4)</f>
        <v>0.0333</v>
      </c>
      <c r="X38" s="18" t="str">
        <f aca="false">TEXT(P38,"dddd")</f>
        <v>Wednesday</v>
      </c>
      <c r="Y38" s="18" t="n">
        <f aca="false">HOUR(Q38)</f>
        <v>16</v>
      </c>
    </row>
    <row r="39" customFormat="false" ht="15" hidden="false" customHeight="false" outlineLevel="0" collapsed="false">
      <c r="A39" s="18" t="s">
        <v>37</v>
      </c>
      <c r="B39" s="18" t="s">
        <v>208</v>
      </c>
      <c r="C39" s="18" t="s">
        <v>209</v>
      </c>
      <c r="D39" s="18" t="s">
        <v>46</v>
      </c>
      <c r="E39" s="18" t="s">
        <v>185</v>
      </c>
      <c r="F39" s="18" t="n">
        <v>2526</v>
      </c>
      <c r="G39" s="18" t="s">
        <v>125</v>
      </c>
      <c r="H39" s="18" t="s">
        <v>217</v>
      </c>
      <c r="I39" s="18" t="s">
        <v>20</v>
      </c>
      <c r="J39" s="18" t="s">
        <v>13</v>
      </c>
      <c r="K39" s="18" t="s">
        <v>165</v>
      </c>
      <c r="L39" s="18" t="s">
        <v>125</v>
      </c>
      <c r="M39" s="18" t="s">
        <v>125</v>
      </c>
      <c r="N39" s="18" t="s">
        <v>125</v>
      </c>
      <c r="O39" s="18"/>
      <c r="P39" s="19" t="n">
        <v>46037.4166666667</v>
      </c>
      <c r="Q39" s="19" t="n">
        <v>46037.5416666667</v>
      </c>
      <c r="R39" s="19" t="n">
        <v>46038</v>
      </c>
      <c r="S39" s="20" t="n">
        <f aca="false">ROUND((Q39-P39)*24,4)</f>
        <v>3</v>
      </c>
      <c r="T39" s="18" t="str">
        <f aca="false">TEXT(P39,"YYYY-MM")</f>
        <v>2026-01</v>
      </c>
      <c r="U39" s="18" t="n">
        <f aca="false">RANK(S39,$S$2:$S$670)+COUNTIF($S$2:S39,S39)-1</f>
        <v>272</v>
      </c>
      <c r="V39" s="20" t="n">
        <f aca="false">ROUND((R39-Q39)*24,4)</f>
        <v>11</v>
      </c>
      <c r="W39" s="20" t="n">
        <f aca="false">ROUND((R39-P39)*24,4)</f>
        <v>14</v>
      </c>
      <c r="X39" s="18" t="str">
        <f aca="false">TEXT(P39,"dddd")</f>
        <v>Thursday</v>
      </c>
      <c r="Y39" s="18" t="n">
        <f aca="false">HOUR(Q39)</f>
        <v>13</v>
      </c>
    </row>
    <row r="40" customFormat="false" ht="15" hidden="false" customHeight="false" outlineLevel="0" collapsed="false">
      <c r="A40" s="18" t="s">
        <v>31</v>
      </c>
      <c r="B40" s="18" t="s">
        <v>218</v>
      </c>
      <c r="C40" s="18" t="s">
        <v>219</v>
      </c>
      <c r="D40" s="18" t="s">
        <v>54</v>
      </c>
      <c r="E40" s="18" t="s">
        <v>163</v>
      </c>
      <c r="F40" s="18" t="n">
        <v>1058</v>
      </c>
      <c r="G40" s="18" t="s">
        <v>125</v>
      </c>
      <c r="H40" s="18" t="s">
        <v>222</v>
      </c>
      <c r="I40" s="18" t="s">
        <v>24</v>
      </c>
      <c r="J40" s="18" t="s">
        <v>13</v>
      </c>
      <c r="K40" s="18" t="s">
        <v>165</v>
      </c>
      <c r="L40" s="18" t="s">
        <v>125</v>
      </c>
      <c r="M40" s="18" t="s">
        <v>125</v>
      </c>
      <c r="N40" s="18" t="s">
        <v>125</v>
      </c>
      <c r="O40" s="18" t="s">
        <v>221</v>
      </c>
      <c r="P40" s="19" t="n">
        <v>46038.375</v>
      </c>
      <c r="Q40" s="19" t="n">
        <v>46038.4166666667</v>
      </c>
      <c r="R40" s="19" t="n">
        <v>46039.2916666667</v>
      </c>
      <c r="S40" s="20" t="n">
        <f aca="false">ROUND((Q40-P40)*24,4)</f>
        <v>1</v>
      </c>
      <c r="T40" s="18" t="str">
        <f aca="false">TEXT(P40,"YYYY-MM")</f>
        <v>2026-01</v>
      </c>
      <c r="U40" s="18" t="n">
        <f aca="false">RANK(S40,$S$2:$S$670)+COUNTIF($S$2:S40,S40)-1</f>
        <v>382</v>
      </c>
      <c r="V40" s="20" t="n">
        <f aca="false">ROUND((R40-Q40)*24,4)</f>
        <v>21</v>
      </c>
      <c r="W40" s="20" t="n">
        <f aca="false">ROUND((R40-P40)*24,4)</f>
        <v>22</v>
      </c>
      <c r="X40" s="18" t="str">
        <f aca="false">TEXT(P40,"dddd")</f>
        <v>Friday</v>
      </c>
      <c r="Y40" s="18" t="n">
        <f aca="false">HOUR(Q40)</f>
        <v>10</v>
      </c>
    </row>
    <row r="41" customFormat="false" ht="15" hidden="false" customHeight="false" outlineLevel="0" collapsed="false">
      <c r="A41" s="18" t="s">
        <v>32</v>
      </c>
      <c r="B41" s="18" t="s">
        <v>223</v>
      </c>
      <c r="C41" s="18" t="s">
        <v>224</v>
      </c>
      <c r="D41" s="18" t="s">
        <v>47</v>
      </c>
      <c r="E41" s="18" t="s">
        <v>168</v>
      </c>
      <c r="F41" s="18" t="n">
        <v>2515</v>
      </c>
      <c r="G41" s="18" t="s">
        <v>127</v>
      </c>
      <c r="H41" s="18" t="s">
        <v>184</v>
      </c>
      <c r="I41" s="18" t="s">
        <v>23</v>
      </c>
      <c r="J41" s="18" t="s">
        <v>13</v>
      </c>
      <c r="K41" s="18" t="s">
        <v>12</v>
      </c>
      <c r="L41" s="18" t="s">
        <v>125</v>
      </c>
      <c r="M41" s="18" t="s">
        <v>125</v>
      </c>
      <c r="N41" s="18" t="s">
        <v>125</v>
      </c>
      <c r="O41" s="18"/>
      <c r="P41" s="19" t="n">
        <v>46038.5416666667</v>
      </c>
      <c r="Q41" s="19" t="n">
        <v>46038.5833333333</v>
      </c>
      <c r="R41" s="19" t="n">
        <v>46038.875</v>
      </c>
      <c r="S41" s="20" t="n">
        <f aca="false">ROUND((Q41-P41)*24,4)</f>
        <v>1</v>
      </c>
      <c r="T41" s="18" t="str">
        <f aca="false">TEXT(P41,"YYYY-MM")</f>
        <v>2026-01</v>
      </c>
      <c r="U41" s="18" t="n">
        <f aca="false">RANK(S41,$S$2:$S$670)+COUNTIF($S$2:S41,S41)-1</f>
        <v>383</v>
      </c>
      <c r="V41" s="20" t="n">
        <f aca="false">ROUND((R41-Q41)*24,4)</f>
        <v>7</v>
      </c>
      <c r="W41" s="20" t="n">
        <f aca="false">ROUND((R41-P41)*24,4)</f>
        <v>8</v>
      </c>
      <c r="X41" s="18" t="str">
        <f aca="false">TEXT(P41,"dddd")</f>
        <v>Friday</v>
      </c>
      <c r="Y41" s="18" t="n">
        <f aca="false">HOUR(Q41)</f>
        <v>14</v>
      </c>
    </row>
    <row r="42" customFormat="false" ht="15" hidden="false" customHeight="false" outlineLevel="0" collapsed="false">
      <c r="A42" s="18" t="s">
        <v>35</v>
      </c>
      <c r="B42" s="18" t="s">
        <v>225</v>
      </c>
      <c r="C42" s="18" t="s">
        <v>226</v>
      </c>
      <c r="D42" s="18" t="s">
        <v>47</v>
      </c>
      <c r="E42" s="18" t="s">
        <v>198</v>
      </c>
      <c r="F42" s="18" t="n">
        <v>2601</v>
      </c>
      <c r="G42" s="18" t="s">
        <v>127</v>
      </c>
      <c r="H42" s="18" t="s">
        <v>227</v>
      </c>
      <c r="I42" s="18" t="s">
        <v>24</v>
      </c>
      <c r="J42" s="18" t="s">
        <v>13</v>
      </c>
      <c r="K42" s="18" t="s">
        <v>12</v>
      </c>
      <c r="L42" s="18" t="s">
        <v>125</v>
      </c>
      <c r="M42" s="18" t="s">
        <v>125</v>
      </c>
      <c r="N42" s="18" t="s">
        <v>144</v>
      </c>
      <c r="O42" s="18"/>
      <c r="P42" s="19" t="n">
        <v>46038.6666666667</v>
      </c>
      <c r="Q42" s="19" t="n">
        <v>46038.7083333333</v>
      </c>
      <c r="R42" s="19" t="n">
        <v>46039.0416666667</v>
      </c>
      <c r="S42" s="20" t="n">
        <f aca="false">ROUND((Q42-P42)*24,4)</f>
        <v>1</v>
      </c>
      <c r="T42" s="18" t="str">
        <f aca="false">TEXT(P42,"YYYY-MM")</f>
        <v>2026-01</v>
      </c>
      <c r="U42" s="18" t="n">
        <f aca="false">RANK(S42,$S$2:$S$670)+COUNTIF($S$2:S42,S42)-1</f>
        <v>384</v>
      </c>
      <c r="V42" s="20" t="n">
        <f aca="false">ROUND((R42-Q42)*24,4)</f>
        <v>8</v>
      </c>
      <c r="W42" s="20" t="n">
        <f aca="false">ROUND((R42-P42)*24,4)</f>
        <v>9</v>
      </c>
      <c r="X42" s="18" t="str">
        <f aca="false">TEXT(P42,"dddd")</f>
        <v>Friday</v>
      </c>
      <c r="Y42" s="18" t="n">
        <f aca="false">HOUR(Q42)</f>
        <v>17</v>
      </c>
    </row>
    <row r="43" customFormat="false" ht="15" hidden="false" customHeight="false" outlineLevel="0" collapsed="false">
      <c r="A43" s="18" t="s">
        <v>35</v>
      </c>
      <c r="B43" s="18" t="s">
        <v>228</v>
      </c>
      <c r="C43" s="18" t="s">
        <v>229</v>
      </c>
      <c r="D43" s="18" t="s">
        <v>52</v>
      </c>
      <c r="E43" s="18" t="s">
        <v>198</v>
      </c>
      <c r="F43" s="18" t="n">
        <v>25014</v>
      </c>
      <c r="G43" s="18" t="s">
        <v>127</v>
      </c>
      <c r="H43" s="18" t="s">
        <v>230</v>
      </c>
      <c r="I43" s="18" t="s">
        <v>20</v>
      </c>
      <c r="J43" s="18" t="s">
        <v>13</v>
      </c>
      <c r="K43" s="18" t="s">
        <v>12</v>
      </c>
      <c r="L43" s="18" t="s">
        <v>125</v>
      </c>
      <c r="M43" s="18" t="s">
        <v>125</v>
      </c>
      <c r="N43" s="18" t="s">
        <v>144</v>
      </c>
      <c r="O43" s="18"/>
      <c r="P43" s="19" t="n">
        <v>46038.7083333333</v>
      </c>
      <c r="Q43" s="19" t="n">
        <v>46038.75</v>
      </c>
      <c r="R43" s="19" t="n">
        <v>46039.0833333333</v>
      </c>
      <c r="S43" s="20" t="n">
        <f aca="false">ROUND((Q43-P43)*24,4)</f>
        <v>1</v>
      </c>
      <c r="T43" s="18" t="str">
        <f aca="false">TEXT(P43,"YYYY-MM")</f>
        <v>2026-01</v>
      </c>
      <c r="U43" s="18" t="n">
        <f aca="false">RANK(S43,$S$2:$S$670)+COUNTIF($S$2:S43,S43)-1</f>
        <v>385</v>
      </c>
      <c r="V43" s="20" t="n">
        <f aca="false">ROUND((R43-Q43)*24,4)</f>
        <v>8</v>
      </c>
      <c r="W43" s="20" t="n">
        <f aca="false">ROUND((R43-P43)*24,4)</f>
        <v>9</v>
      </c>
      <c r="X43" s="18" t="str">
        <f aca="false">TEXT(P43,"dddd")</f>
        <v>Friday</v>
      </c>
      <c r="Y43" s="18" t="n">
        <f aca="false">HOUR(Q43)</f>
        <v>18</v>
      </c>
    </row>
    <row r="44" customFormat="false" ht="15" hidden="false" customHeight="false" outlineLevel="0" collapsed="false">
      <c r="A44" s="18" t="s">
        <v>32</v>
      </c>
      <c r="B44" s="18" t="s">
        <v>223</v>
      </c>
      <c r="C44" s="18" t="s">
        <v>224</v>
      </c>
      <c r="D44" s="18" t="s">
        <v>47</v>
      </c>
      <c r="E44" s="18" t="s">
        <v>163</v>
      </c>
      <c r="F44" s="18" t="n">
        <v>2515</v>
      </c>
      <c r="G44" s="18" t="s">
        <v>125</v>
      </c>
      <c r="H44" s="18" t="s">
        <v>187</v>
      </c>
      <c r="I44" s="18" t="s">
        <v>17</v>
      </c>
      <c r="J44" s="18" t="s">
        <v>12</v>
      </c>
      <c r="K44" s="18" t="s">
        <v>13</v>
      </c>
      <c r="L44" s="18" t="s">
        <v>125</v>
      </c>
      <c r="M44" s="18" t="s">
        <v>125</v>
      </c>
      <c r="N44" s="18" t="s">
        <v>125</v>
      </c>
      <c r="O44" s="18"/>
      <c r="P44" s="19" t="n">
        <v>46038.9583333333</v>
      </c>
      <c r="Q44" s="19" t="n">
        <v>46039.2916666667</v>
      </c>
      <c r="R44" s="19" t="n">
        <v>46040.5</v>
      </c>
      <c r="S44" s="20" t="n">
        <f aca="false">ROUND((Q44-P44)*24,4)</f>
        <v>8</v>
      </c>
      <c r="T44" s="18" t="str">
        <f aca="false">TEXT(P44,"YYYY-MM")</f>
        <v>2026-01</v>
      </c>
      <c r="U44" s="18" t="n">
        <f aca="false">RANK(S44,$S$2:$S$670)+COUNTIF($S$2:S44,S44)-1</f>
        <v>171</v>
      </c>
      <c r="V44" s="20" t="n">
        <f aca="false">ROUND((R44-Q44)*24,4)</f>
        <v>29</v>
      </c>
      <c r="W44" s="20" t="n">
        <f aca="false">ROUND((R44-P44)*24,4)</f>
        <v>37</v>
      </c>
      <c r="X44" s="18" t="str">
        <f aca="false">TEXT(P44,"dddd")</f>
        <v>Friday</v>
      </c>
      <c r="Y44" s="18" t="n">
        <f aca="false">HOUR(Q44)</f>
        <v>7</v>
      </c>
    </row>
    <row r="45" customFormat="false" ht="15" hidden="false" customHeight="false" outlineLevel="0" collapsed="false">
      <c r="A45" s="18" t="s">
        <v>35</v>
      </c>
      <c r="B45" s="18" t="s">
        <v>225</v>
      </c>
      <c r="C45" s="18" t="s">
        <v>226</v>
      </c>
      <c r="D45" s="18" t="s">
        <v>47</v>
      </c>
      <c r="E45" s="18" t="s">
        <v>168</v>
      </c>
      <c r="F45" s="18" t="n">
        <v>2601</v>
      </c>
      <c r="G45" s="18" t="s">
        <v>125</v>
      </c>
      <c r="H45" s="18" t="s">
        <v>231</v>
      </c>
      <c r="I45" s="18" t="s">
        <v>19</v>
      </c>
      <c r="J45" s="18" t="s">
        <v>12</v>
      </c>
      <c r="K45" s="18" t="s">
        <v>232</v>
      </c>
      <c r="L45" s="18" t="s">
        <v>125</v>
      </c>
      <c r="M45" s="18" t="s">
        <v>125</v>
      </c>
      <c r="N45" s="18" t="s">
        <v>144</v>
      </c>
      <c r="O45" s="18"/>
      <c r="P45" s="19" t="n">
        <v>46039.125</v>
      </c>
      <c r="Q45" s="19" t="n">
        <v>46039.3333333333</v>
      </c>
      <c r="R45" s="19" t="n">
        <v>46040.5</v>
      </c>
      <c r="S45" s="20" t="n">
        <f aca="false">ROUND((Q45-P45)*24,4)</f>
        <v>5</v>
      </c>
      <c r="T45" s="18" t="str">
        <f aca="false">TEXT(P45,"YYYY-MM")</f>
        <v>2026-01</v>
      </c>
      <c r="U45" s="18" t="n">
        <f aca="false">RANK(S45,$S$2:$S$670)+COUNTIF($S$2:S45,S45)-1</f>
        <v>224</v>
      </c>
      <c r="V45" s="20" t="n">
        <f aca="false">ROUND((R45-Q45)*24,4)</f>
        <v>28</v>
      </c>
      <c r="W45" s="20" t="n">
        <f aca="false">ROUND((R45-P45)*24,4)</f>
        <v>33</v>
      </c>
      <c r="X45" s="18" t="str">
        <f aca="false">TEXT(P45,"dddd")</f>
        <v>Saturday</v>
      </c>
      <c r="Y45" s="18" t="n">
        <f aca="false">HOUR(Q45)</f>
        <v>8</v>
      </c>
    </row>
    <row r="46" customFormat="false" ht="15" hidden="false" customHeight="false" outlineLevel="0" collapsed="false">
      <c r="A46" s="18" t="s">
        <v>34</v>
      </c>
      <c r="B46" s="18" t="s">
        <v>233</v>
      </c>
      <c r="C46" s="18" t="s">
        <v>234</v>
      </c>
      <c r="D46" s="18" t="s">
        <v>46</v>
      </c>
      <c r="E46" s="18" t="s">
        <v>163</v>
      </c>
      <c r="F46" s="18" t="n">
        <v>2513</v>
      </c>
      <c r="G46" s="18" t="s">
        <v>127</v>
      </c>
      <c r="H46" s="18" t="s">
        <v>169</v>
      </c>
      <c r="I46" s="18" t="s">
        <v>20</v>
      </c>
      <c r="J46" s="18" t="s">
        <v>13</v>
      </c>
      <c r="K46" s="18" t="s">
        <v>12</v>
      </c>
      <c r="L46" s="18" t="s">
        <v>125</v>
      </c>
      <c r="M46" s="18" t="s">
        <v>125</v>
      </c>
      <c r="N46" s="18" t="s">
        <v>125</v>
      </c>
      <c r="O46" s="18"/>
      <c r="P46" s="19" t="n">
        <v>46039.125</v>
      </c>
      <c r="Q46" s="19" t="n">
        <v>46039.1666666667</v>
      </c>
      <c r="R46" s="19" t="n">
        <v>46039.5833333333</v>
      </c>
      <c r="S46" s="20" t="n">
        <f aca="false">ROUND((Q46-P46)*24,4)</f>
        <v>1</v>
      </c>
      <c r="T46" s="18" t="str">
        <f aca="false">TEXT(P46,"YYYY-MM")</f>
        <v>2026-01</v>
      </c>
      <c r="U46" s="18" t="n">
        <f aca="false">RANK(S46,$S$2:$S$670)+COUNTIF($S$2:S46,S46)-1</f>
        <v>386</v>
      </c>
      <c r="V46" s="20" t="n">
        <f aca="false">ROUND((R46-Q46)*24,4)</f>
        <v>10</v>
      </c>
      <c r="W46" s="20" t="n">
        <f aca="false">ROUND((R46-P46)*24,4)</f>
        <v>11</v>
      </c>
      <c r="X46" s="18" t="str">
        <f aca="false">TEXT(P46,"dddd")</f>
        <v>Saturday</v>
      </c>
      <c r="Y46" s="18" t="n">
        <f aca="false">HOUR(Q46)</f>
        <v>4</v>
      </c>
    </row>
    <row r="47" customFormat="false" ht="15" hidden="false" customHeight="false" outlineLevel="0" collapsed="false">
      <c r="A47" s="18" t="s">
        <v>35</v>
      </c>
      <c r="B47" s="18" t="s">
        <v>228</v>
      </c>
      <c r="C47" s="18" t="s">
        <v>229</v>
      </c>
      <c r="D47" s="18" t="s">
        <v>52</v>
      </c>
      <c r="E47" s="18" t="s">
        <v>168</v>
      </c>
      <c r="F47" s="18" t="n">
        <v>25014</v>
      </c>
      <c r="G47" s="18" t="s">
        <v>125</v>
      </c>
      <c r="H47" s="18" t="s">
        <v>235</v>
      </c>
      <c r="I47" s="18" t="s">
        <v>19</v>
      </c>
      <c r="J47" s="18" t="s">
        <v>12</v>
      </c>
      <c r="K47" s="18" t="s">
        <v>13</v>
      </c>
      <c r="L47" s="18" t="s">
        <v>125</v>
      </c>
      <c r="M47" s="18" t="s">
        <v>125</v>
      </c>
      <c r="N47" s="18" t="s">
        <v>125</v>
      </c>
      <c r="O47" s="18"/>
      <c r="P47" s="19" t="n">
        <v>46039.1666666667</v>
      </c>
      <c r="Q47" s="19" t="n">
        <v>46039.2916666667</v>
      </c>
      <c r="R47" s="19" t="n">
        <v>46040.5</v>
      </c>
      <c r="S47" s="20" t="n">
        <f aca="false">ROUND((Q47-P47)*24,4)</f>
        <v>3</v>
      </c>
      <c r="T47" s="18" t="str">
        <f aca="false">TEXT(P47,"YYYY-MM")</f>
        <v>2026-01</v>
      </c>
      <c r="U47" s="18" t="n">
        <f aca="false">RANK(S47,$S$2:$S$670)+COUNTIF($S$2:S47,S47)-1</f>
        <v>273</v>
      </c>
      <c r="V47" s="20" t="n">
        <f aca="false">ROUND((R47-Q47)*24,4)</f>
        <v>29</v>
      </c>
      <c r="W47" s="20" t="n">
        <f aca="false">ROUND((R47-P47)*24,4)</f>
        <v>32</v>
      </c>
      <c r="X47" s="18" t="str">
        <f aca="false">TEXT(P47,"dddd")</f>
        <v>Saturday</v>
      </c>
      <c r="Y47" s="18" t="n">
        <f aca="false">HOUR(Q47)</f>
        <v>7</v>
      </c>
    </row>
    <row r="48" customFormat="false" ht="15" hidden="false" customHeight="false" outlineLevel="0" collapsed="false">
      <c r="A48" s="18" t="s">
        <v>36</v>
      </c>
      <c r="B48" s="18" t="s">
        <v>225</v>
      </c>
      <c r="C48" s="18" t="s">
        <v>226</v>
      </c>
      <c r="D48" s="18" t="s">
        <v>47</v>
      </c>
      <c r="E48" s="18" t="s">
        <v>163</v>
      </c>
      <c r="F48" s="18" t="n">
        <v>2601</v>
      </c>
      <c r="G48" s="18" t="s">
        <v>125</v>
      </c>
      <c r="H48" s="18" t="s">
        <v>231</v>
      </c>
      <c r="I48" s="18" t="s">
        <v>17</v>
      </c>
      <c r="J48" s="18" t="s">
        <v>12</v>
      </c>
      <c r="K48" s="18" t="s">
        <v>13</v>
      </c>
      <c r="L48" s="18" t="s">
        <v>125</v>
      </c>
      <c r="M48" s="18" t="s">
        <v>125</v>
      </c>
      <c r="N48" s="18" t="s">
        <v>125</v>
      </c>
      <c r="O48" s="18"/>
      <c r="P48" s="19" t="n">
        <v>46039.2208333333</v>
      </c>
      <c r="Q48" s="19" t="n">
        <v>46039.3291666667</v>
      </c>
      <c r="R48" s="19" t="n">
        <v>46040.5416666667</v>
      </c>
      <c r="S48" s="20" t="n">
        <f aca="false">ROUND((Q48-P48)*24,4)</f>
        <v>2.6</v>
      </c>
      <c r="T48" s="18" t="str">
        <f aca="false">TEXT(P48,"YYYY-MM")</f>
        <v>2026-01</v>
      </c>
      <c r="U48" s="18" t="n">
        <f aca="false">RANK(S48,$S$2:$S$670)+COUNTIF($S$2:S48,S48)-1</f>
        <v>303</v>
      </c>
      <c r="V48" s="20" t="n">
        <f aca="false">ROUND((R48-Q48)*24,4)</f>
        <v>29.1</v>
      </c>
      <c r="W48" s="20" t="n">
        <f aca="false">ROUND((R48-P48)*24,4)</f>
        <v>31.7</v>
      </c>
      <c r="X48" s="18" t="str">
        <f aca="false">TEXT(P48,"dddd")</f>
        <v>Saturday</v>
      </c>
      <c r="Y48" s="18" t="n">
        <f aca="false">HOUR(Q48)</f>
        <v>7</v>
      </c>
    </row>
    <row r="49" customFormat="false" ht="15" hidden="false" customHeight="false" outlineLevel="0" collapsed="false">
      <c r="A49" s="18" t="s">
        <v>34</v>
      </c>
      <c r="B49" s="18" t="s">
        <v>233</v>
      </c>
      <c r="C49" s="18" t="s">
        <v>234</v>
      </c>
      <c r="D49" s="18" t="s">
        <v>46</v>
      </c>
      <c r="E49" s="18" t="s">
        <v>176</v>
      </c>
      <c r="F49" s="18" t="n">
        <v>2513</v>
      </c>
      <c r="G49" s="18" t="s">
        <v>125</v>
      </c>
      <c r="H49" s="18" t="s">
        <v>170</v>
      </c>
      <c r="I49" s="18" t="s">
        <v>17</v>
      </c>
      <c r="J49" s="18" t="s">
        <v>12</v>
      </c>
      <c r="K49" s="18" t="s">
        <v>13</v>
      </c>
      <c r="L49" s="18" t="s">
        <v>125</v>
      </c>
      <c r="M49" s="18" t="s">
        <v>125</v>
      </c>
      <c r="N49" s="18" t="s">
        <v>125</v>
      </c>
      <c r="O49" s="18"/>
      <c r="P49" s="19" t="n">
        <v>46039.6666666667</v>
      </c>
      <c r="Q49" s="19" t="n">
        <v>46040.5416666667</v>
      </c>
      <c r="R49" s="19" t="n">
        <v>46042.2083333333</v>
      </c>
      <c r="S49" s="20" t="n">
        <f aca="false">ROUND((Q49-P49)*24,4)</f>
        <v>21</v>
      </c>
      <c r="T49" s="18" t="str">
        <f aca="false">TEXT(P49,"YYYY-MM")</f>
        <v>2026-01</v>
      </c>
      <c r="U49" s="18" t="n">
        <f aca="false">RANK(S49,$S$2:$S$670)+COUNTIF($S$2:S49,S49)-1</f>
        <v>40</v>
      </c>
      <c r="V49" s="20" t="n">
        <f aca="false">ROUND((R49-Q49)*24,4)</f>
        <v>40</v>
      </c>
      <c r="W49" s="20" t="n">
        <f aca="false">ROUND((R49-P49)*24,4)</f>
        <v>61</v>
      </c>
      <c r="X49" s="18" t="str">
        <f aca="false">TEXT(P49,"dddd")</f>
        <v>Saturday</v>
      </c>
      <c r="Y49" s="18" t="n">
        <f aca="false">HOUR(Q49)</f>
        <v>13</v>
      </c>
    </row>
    <row r="50" customFormat="false" ht="15" hidden="false" customHeight="false" outlineLevel="0" collapsed="false">
      <c r="A50" s="18" t="s">
        <v>37</v>
      </c>
      <c r="B50" s="18" t="s">
        <v>236</v>
      </c>
      <c r="C50" s="18" t="s">
        <v>237</v>
      </c>
      <c r="D50" s="18" t="s">
        <v>46</v>
      </c>
      <c r="E50" s="18" t="s">
        <v>163</v>
      </c>
      <c r="F50" s="18" t="n">
        <v>2514</v>
      </c>
      <c r="G50" s="18" t="s">
        <v>127</v>
      </c>
      <c r="H50" s="18" t="s">
        <v>173</v>
      </c>
      <c r="I50" s="18" t="s">
        <v>20</v>
      </c>
      <c r="J50" s="18" t="s">
        <v>13</v>
      </c>
      <c r="K50" s="18" t="s">
        <v>12</v>
      </c>
      <c r="L50" s="18" t="s">
        <v>125</v>
      </c>
      <c r="M50" s="18" t="s">
        <v>125</v>
      </c>
      <c r="N50" s="18" t="s">
        <v>125</v>
      </c>
      <c r="O50" s="18"/>
      <c r="P50" s="19" t="n">
        <v>46039.9583333333</v>
      </c>
      <c r="Q50" s="19" t="n">
        <v>46040.3541666667</v>
      </c>
      <c r="R50" s="19" t="n">
        <v>46040.7916666667</v>
      </c>
      <c r="S50" s="20" t="n">
        <f aca="false">ROUND((Q50-P50)*24,4)</f>
        <v>9.5</v>
      </c>
      <c r="T50" s="18" t="str">
        <f aca="false">TEXT(P50,"YYYY-MM")</f>
        <v>2026-01</v>
      </c>
      <c r="U50" s="18" t="n">
        <f aca="false">RANK(S50,$S$2:$S$670)+COUNTIF($S$2:S50,S50)-1</f>
        <v>150</v>
      </c>
      <c r="V50" s="20" t="n">
        <f aca="false">ROUND((R50-Q50)*24,4)</f>
        <v>10.5</v>
      </c>
      <c r="W50" s="20" t="n">
        <f aca="false">ROUND((R50-P50)*24,4)</f>
        <v>20</v>
      </c>
      <c r="X50" s="18" t="str">
        <f aca="false">TEXT(P50,"dddd")</f>
        <v>Saturday</v>
      </c>
      <c r="Y50" s="18" t="n">
        <f aca="false">HOUR(Q50)</f>
        <v>8</v>
      </c>
    </row>
    <row r="51" customFormat="false" ht="15" hidden="false" customHeight="false" outlineLevel="0" collapsed="false">
      <c r="A51" s="18" t="s">
        <v>32</v>
      </c>
      <c r="B51" s="18" t="s">
        <v>223</v>
      </c>
      <c r="C51" s="18" t="s">
        <v>224</v>
      </c>
      <c r="D51" s="18" t="s">
        <v>47</v>
      </c>
      <c r="E51" s="18" t="s">
        <v>176</v>
      </c>
      <c r="F51" s="18" t="n">
        <v>2515</v>
      </c>
      <c r="G51" s="18" t="s">
        <v>125</v>
      </c>
      <c r="H51" s="18" t="s">
        <v>187</v>
      </c>
      <c r="I51" s="18" t="s">
        <v>23</v>
      </c>
      <c r="J51" s="18" t="s">
        <v>13</v>
      </c>
      <c r="K51" s="18" t="s">
        <v>186</v>
      </c>
      <c r="L51" s="18" t="s">
        <v>125</v>
      </c>
      <c r="M51" s="18" t="s">
        <v>125</v>
      </c>
      <c r="N51" s="18" t="s">
        <v>125</v>
      </c>
      <c r="O51" s="18"/>
      <c r="P51" s="19" t="n">
        <v>46040.7083333333</v>
      </c>
      <c r="Q51" s="19" t="n">
        <v>46040.875</v>
      </c>
      <c r="R51" s="19" t="n">
        <v>46041.2916666667</v>
      </c>
      <c r="S51" s="20" t="n">
        <f aca="false">ROUND((Q51-P51)*24,4)</f>
        <v>4</v>
      </c>
      <c r="T51" s="18" t="str">
        <f aca="false">TEXT(P51,"YYYY-MM")</f>
        <v>2026-01</v>
      </c>
      <c r="U51" s="18" t="n">
        <f aca="false">RANK(S51,$S$2:$S$670)+COUNTIF($S$2:S51,S51)-1</f>
        <v>246</v>
      </c>
      <c r="V51" s="20" t="n">
        <f aca="false">ROUND((R51-Q51)*24,4)</f>
        <v>10</v>
      </c>
      <c r="W51" s="20" t="n">
        <f aca="false">ROUND((R51-P51)*24,4)</f>
        <v>14</v>
      </c>
      <c r="X51" s="18" t="str">
        <f aca="false">TEXT(P51,"dddd")</f>
        <v>Sunday</v>
      </c>
      <c r="Y51" s="18" t="n">
        <f aca="false">HOUR(Q51)</f>
        <v>21</v>
      </c>
    </row>
    <row r="52" customFormat="false" ht="15" hidden="false" customHeight="false" outlineLevel="0" collapsed="false">
      <c r="A52" s="18" t="s">
        <v>35</v>
      </c>
      <c r="B52" s="18" t="s">
        <v>228</v>
      </c>
      <c r="C52" s="18" t="s">
        <v>229</v>
      </c>
      <c r="D52" s="18" t="s">
        <v>52</v>
      </c>
      <c r="E52" s="18" t="s">
        <v>163</v>
      </c>
      <c r="F52" s="18" t="n">
        <v>25014</v>
      </c>
      <c r="G52" s="18" t="s">
        <v>125</v>
      </c>
      <c r="H52" s="18" t="s">
        <v>235</v>
      </c>
      <c r="I52" s="18" t="s">
        <v>20</v>
      </c>
      <c r="J52" s="18" t="s">
        <v>13</v>
      </c>
      <c r="K52" s="18" t="s">
        <v>186</v>
      </c>
      <c r="L52" s="18" t="s">
        <v>125</v>
      </c>
      <c r="M52" s="18" t="s">
        <v>144</v>
      </c>
      <c r="N52" s="18" t="s">
        <v>125</v>
      </c>
      <c r="O52" s="18"/>
      <c r="P52" s="19" t="n">
        <v>46040.7083333333</v>
      </c>
      <c r="Q52" s="19" t="n">
        <v>46040.75</v>
      </c>
      <c r="R52" s="19" t="n">
        <v>46041.3333333333</v>
      </c>
      <c r="S52" s="20" t="n">
        <f aca="false">ROUND((Q52-P52)*24,4)</f>
        <v>1</v>
      </c>
      <c r="T52" s="18" t="str">
        <f aca="false">TEXT(P52,"YYYY-MM")</f>
        <v>2026-01</v>
      </c>
      <c r="U52" s="18" t="n">
        <f aca="false">RANK(S52,$S$2:$S$670)+COUNTIF($S$2:S52,S52)-1</f>
        <v>387</v>
      </c>
      <c r="V52" s="20" t="n">
        <f aca="false">ROUND((R52-Q52)*24,4)</f>
        <v>14</v>
      </c>
      <c r="W52" s="20" t="n">
        <f aca="false">ROUND((R52-P52)*24,4)</f>
        <v>15</v>
      </c>
      <c r="X52" s="18" t="str">
        <f aca="false">TEXT(P52,"dddd")</f>
        <v>Sunday</v>
      </c>
      <c r="Y52" s="18" t="n">
        <f aca="false">HOUR(Q52)</f>
        <v>18</v>
      </c>
    </row>
    <row r="53" customFormat="false" ht="15" hidden="false" customHeight="false" outlineLevel="0" collapsed="false">
      <c r="A53" s="18" t="s">
        <v>36</v>
      </c>
      <c r="B53" s="18" t="s">
        <v>225</v>
      </c>
      <c r="C53" s="18" t="s">
        <v>226</v>
      </c>
      <c r="D53" s="18" t="s">
        <v>47</v>
      </c>
      <c r="E53" s="18" t="s">
        <v>176</v>
      </c>
      <c r="F53" s="18" t="n">
        <v>2601</v>
      </c>
      <c r="G53" s="18" t="s">
        <v>125</v>
      </c>
      <c r="H53" s="18" t="s">
        <v>231</v>
      </c>
      <c r="I53" s="18" t="s">
        <v>23</v>
      </c>
      <c r="J53" s="18" t="s">
        <v>13</v>
      </c>
      <c r="K53" s="18" t="s">
        <v>186</v>
      </c>
      <c r="L53" s="18" t="s">
        <v>125</v>
      </c>
      <c r="M53" s="18" t="s">
        <v>125</v>
      </c>
      <c r="N53" s="18" t="s">
        <v>125</v>
      </c>
      <c r="O53" s="18"/>
      <c r="P53" s="19" t="n">
        <v>46040.75</v>
      </c>
      <c r="Q53" s="19" t="n">
        <v>46040.7916666667</v>
      </c>
      <c r="R53" s="19" t="n">
        <v>46041.2083333333</v>
      </c>
      <c r="S53" s="20" t="n">
        <f aca="false">ROUND((Q53-P53)*24,4)</f>
        <v>1</v>
      </c>
      <c r="T53" s="18" t="str">
        <f aca="false">TEXT(P53,"YYYY-MM")</f>
        <v>2026-01</v>
      </c>
      <c r="U53" s="18" t="n">
        <f aca="false">RANK(S53,$S$2:$S$670)+COUNTIF($S$2:S53,S53)-1</f>
        <v>388</v>
      </c>
      <c r="V53" s="20" t="n">
        <f aca="false">ROUND((R53-Q53)*24,4)</f>
        <v>10</v>
      </c>
      <c r="W53" s="20" t="n">
        <f aca="false">ROUND((R53-P53)*24,4)</f>
        <v>11</v>
      </c>
      <c r="X53" s="18" t="str">
        <f aca="false">TEXT(P53,"dddd")</f>
        <v>Sunday</v>
      </c>
      <c r="Y53" s="18" t="n">
        <f aca="false">HOUR(Q53)</f>
        <v>19</v>
      </c>
    </row>
    <row r="54" customFormat="false" ht="15" hidden="false" customHeight="false" outlineLevel="0" collapsed="false">
      <c r="A54" s="18" t="s">
        <v>37</v>
      </c>
      <c r="B54" s="18" t="s">
        <v>236</v>
      </c>
      <c r="C54" s="18" t="s">
        <v>237</v>
      </c>
      <c r="D54" s="18" t="s">
        <v>46</v>
      </c>
      <c r="E54" s="18" t="s">
        <v>176</v>
      </c>
      <c r="F54" s="18" t="n">
        <v>2514</v>
      </c>
      <c r="G54" s="18" t="s">
        <v>125</v>
      </c>
      <c r="H54" s="18" t="s">
        <v>177</v>
      </c>
      <c r="I54" s="18" t="s">
        <v>19</v>
      </c>
      <c r="J54" s="18" t="s">
        <v>12</v>
      </c>
      <c r="K54" s="18" t="s">
        <v>13</v>
      </c>
      <c r="L54" s="18" t="s">
        <v>125</v>
      </c>
      <c r="M54" s="18" t="s">
        <v>125</v>
      </c>
      <c r="N54" s="18" t="s">
        <v>125</v>
      </c>
      <c r="O54" s="18"/>
      <c r="P54" s="19" t="n">
        <v>46040.875</v>
      </c>
      <c r="Q54" s="19" t="n">
        <v>46041.5</v>
      </c>
      <c r="R54" s="19" t="n">
        <v>46043.2083333333</v>
      </c>
      <c r="S54" s="20" t="n">
        <f aca="false">ROUND((Q54-P54)*24,4)</f>
        <v>15</v>
      </c>
      <c r="T54" s="18" t="str">
        <f aca="false">TEXT(P54,"YYYY-MM")</f>
        <v>2026-01</v>
      </c>
      <c r="U54" s="18" t="n">
        <f aca="false">RANK(S54,$S$2:$S$670)+COUNTIF($S$2:S54,S54)-1</f>
        <v>77</v>
      </c>
      <c r="V54" s="20" t="n">
        <f aca="false">ROUND((R54-Q54)*24,4)</f>
        <v>41</v>
      </c>
      <c r="W54" s="20" t="n">
        <f aca="false">ROUND((R54-P54)*24,4)</f>
        <v>56</v>
      </c>
      <c r="X54" s="18" t="str">
        <f aca="false">TEXT(P54,"dddd")</f>
        <v>Sunday</v>
      </c>
      <c r="Y54" s="18" t="n">
        <f aca="false">HOUR(Q54)</f>
        <v>12</v>
      </c>
    </row>
    <row r="55" customFormat="false" ht="15" hidden="false" customHeight="false" outlineLevel="0" collapsed="false">
      <c r="A55" s="18" t="s">
        <v>31</v>
      </c>
      <c r="B55" s="18" t="s">
        <v>203</v>
      </c>
      <c r="C55" s="18" t="s">
        <v>204</v>
      </c>
      <c r="D55" s="18" t="s">
        <v>48</v>
      </c>
      <c r="E55" s="18" t="s">
        <v>163</v>
      </c>
      <c r="F55" s="18" t="n">
        <v>2517</v>
      </c>
      <c r="G55" s="18" t="s">
        <v>125</v>
      </c>
      <c r="H55" s="18" t="s">
        <v>207</v>
      </c>
      <c r="I55" s="18" t="s">
        <v>24</v>
      </c>
      <c r="J55" s="18" t="s">
        <v>13</v>
      </c>
      <c r="K55" s="18" t="s">
        <v>165</v>
      </c>
      <c r="L55" s="18" t="s">
        <v>125</v>
      </c>
      <c r="M55" s="18" t="s">
        <v>125</v>
      </c>
      <c r="N55" s="18" t="s">
        <v>125</v>
      </c>
      <c r="O55" s="18" t="s">
        <v>206</v>
      </c>
      <c r="P55" s="19" t="n">
        <v>46041.8333333333</v>
      </c>
      <c r="Q55" s="19" t="n">
        <v>46041.875</v>
      </c>
      <c r="R55" s="19" t="n">
        <v>46042.8333333333</v>
      </c>
      <c r="S55" s="20" t="n">
        <f aca="false">ROUND((Q55-P55)*24,4)</f>
        <v>1</v>
      </c>
      <c r="T55" s="18" t="str">
        <f aca="false">TEXT(P55,"YYYY-MM")</f>
        <v>2026-01</v>
      </c>
      <c r="U55" s="18" t="n">
        <f aca="false">RANK(S55,$S$2:$S$670)+COUNTIF($S$2:S55,S55)-1</f>
        <v>389</v>
      </c>
      <c r="V55" s="20" t="n">
        <f aca="false">ROUND((R55-Q55)*24,4)</f>
        <v>23</v>
      </c>
      <c r="W55" s="20" t="n">
        <f aca="false">ROUND((R55-P55)*24,4)</f>
        <v>24</v>
      </c>
      <c r="X55" s="18" t="str">
        <f aca="false">TEXT(P55,"dddd")</f>
        <v>Monday</v>
      </c>
      <c r="Y55" s="18" t="n">
        <f aca="false">HOUR(Q55)</f>
        <v>21</v>
      </c>
    </row>
    <row r="56" customFormat="false" ht="15" hidden="false" customHeight="false" outlineLevel="0" collapsed="false">
      <c r="A56" s="18" t="s">
        <v>34</v>
      </c>
      <c r="B56" s="18" t="s">
        <v>233</v>
      </c>
      <c r="C56" s="18" t="s">
        <v>234</v>
      </c>
      <c r="D56" s="18" t="s">
        <v>46</v>
      </c>
      <c r="E56" s="18" t="s">
        <v>185</v>
      </c>
      <c r="F56" s="18" t="n">
        <v>2513</v>
      </c>
      <c r="G56" s="18" t="s">
        <v>125</v>
      </c>
      <c r="H56" s="18" t="s">
        <v>170</v>
      </c>
      <c r="I56" s="18" t="s">
        <v>20</v>
      </c>
      <c r="J56" s="18" t="s">
        <v>13</v>
      </c>
      <c r="K56" s="18" t="s">
        <v>165</v>
      </c>
      <c r="L56" s="18" t="s">
        <v>125</v>
      </c>
      <c r="M56" s="18" t="s">
        <v>125</v>
      </c>
      <c r="N56" s="18" t="s">
        <v>125</v>
      </c>
      <c r="O56" s="18"/>
      <c r="P56" s="19" t="n">
        <v>46042.4166666667</v>
      </c>
      <c r="Q56" s="19" t="n">
        <v>46042.4583333333</v>
      </c>
      <c r="R56" s="19" t="n">
        <v>46042.7916666667</v>
      </c>
      <c r="S56" s="20" t="n">
        <f aca="false">ROUND((Q56-P56)*24,4)</f>
        <v>1</v>
      </c>
      <c r="T56" s="18" t="str">
        <f aca="false">TEXT(P56,"YYYY-MM")</f>
        <v>2026-01</v>
      </c>
      <c r="U56" s="18" t="n">
        <f aca="false">RANK(S56,$S$2:$S$670)+COUNTIF($S$2:S56,S56)-1</f>
        <v>390</v>
      </c>
      <c r="V56" s="20" t="n">
        <f aca="false">ROUND((R56-Q56)*24,4)</f>
        <v>8</v>
      </c>
      <c r="W56" s="20" t="n">
        <f aca="false">ROUND((R56-P56)*24,4)</f>
        <v>9</v>
      </c>
      <c r="X56" s="18" t="str">
        <f aca="false">TEXT(P56,"dddd")</f>
        <v>Tuesday</v>
      </c>
      <c r="Y56" s="18" t="n">
        <f aca="false">HOUR(Q56)</f>
        <v>11</v>
      </c>
    </row>
    <row r="57" customFormat="false" ht="15" hidden="false" customHeight="false" outlineLevel="0" collapsed="false">
      <c r="A57" s="18" t="s">
        <v>37</v>
      </c>
      <c r="B57" s="18" t="s">
        <v>236</v>
      </c>
      <c r="C57" s="18" t="s">
        <v>237</v>
      </c>
      <c r="D57" s="18" t="s">
        <v>46</v>
      </c>
      <c r="E57" s="18" t="s">
        <v>185</v>
      </c>
      <c r="F57" s="18" t="n">
        <v>2514</v>
      </c>
      <c r="G57" s="18" t="s">
        <v>125</v>
      </c>
      <c r="H57" s="18" t="s">
        <v>177</v>
      </c>
      <c r="I57" s="18" t="s">
        <v>20</v>
      </c>
      <c r="J57" s="18" t="s">
        <v>13</v>
      </c>
      <c r="K57" s="18" t="s">
        <v>165</v>
      </c>
      <c r="L57" s="18" t="s">
        <v>125</v>
      </c>
      <c r="M57" s="18" t="s">
        <v>125</v>
      </c>
      <c r="N57" s="18" t="s">
        <v>125</v>
      </c>
      <c r="O57" s="18"/>
      <c r="P57" s="19" t="n">
        <v>46043.4166666667</v>
      </c>
      <c r="Q57" s="19" t="n">
        <v>46043.7916666667</v>
      </c>
      <c r="R57" s="19" t="n">
        <v>46044.375</v>
      </c>
      <c r="S57" s="20" t="n">
        <f aca="false">ROUND((Q57-P57)*24,4)</f>
        <v>9</v>
      </c>
      <c r="T57" s="18" t="str">
        <f aca="false">TEXT(P57,"YYYY-MM")</f>
        <v>2026-01</v>
      </c>
      <c r="U57" s="18" t="n">
        <f aca="false">RANK(S57,$S$2:$S$670)+COUNTIF($S$2:S57,S57)-1</f>
        <v>152</v>
      </c>
      <c r="V57" s="20" t="n">
        <f aca="false">ROUND((R57-Q57)*24,4)</f>
        <v>14</v>
      </c>
      <c r="W57" s="20" t="n">
        <f aca="false">ROUND((R57-P57)*24,4)</f>
        <v>23</v>
      </c>
      <c r="X57" s="18" t="str">
        <f aca="false">TEXT(P57,"dddd")</f>
        <v>Wednesday</v>
      </c>
      <c r="Y57" s="18" t="n">
        <f aca="false">HOUR(Q57)</f>
        <v>19</v>
      </c>
    </row>
    <row r="58" customFormat="false" ht="15" hidden="false" customHeight="false" outlineLevel="0" collapsed="false">
      <c r="A58" s="18" t="s">
        <v>39</v>
      </c>
      <c r="B58" s="18" t="s">
        <v>238</v>
      </c>
      <c r="C58" s="18" t="s">
        <v>239</v>
      </c>
      <c r="D58" s="18" t="s">
        <v>50</v>
      </c>
      <c r="E58" s="18" t="s">
        <v>176</v>
      </c>
      <c r="F58" s="18" t="n">
        <v>2512</v>
      </c>
      <c r="G58" s="18" t="s">
        <v>125</v>
      </c>
      <c r="H58" s="18" t="s">
        <v>215</v>
      </c>
      <c r="I58" s="18" t="s">
        <v>21</v>
      </c>
      <c r="J58" s="18" t="s">
        <v>13</v>
      </c>
      <c r="K58" s="18" t="s">
        <v>216</v>
      </c>
      <c r="L58" s="18" t="s">
        <v>125</v>
      </c>
      <c r="M58" s="18" t="s">
        <v>125</v>
      </c>
      <c r="N58" s="18" t="s">
        <v>125</v>
      </c>
      <c r="O58" s="18"/>
      <c r="P58" s="19" t="n">
        <v>46043.6666666667</v>
      </c>
      <c r="Q58" s="19" t="n">
        <v>46043.675</v>
      </c>
      <c r="R58" s="19" t="n">
        <v>46044.4583333333</v>
      </c>
      <c r="S58" s="20" t="n">
        <f aca="false">ROUND((Q58-P58)*24,4)</f>
        <v>0.2</v>
      </c>
      <c r="T58" s="18" t="str">
        <f aca="false">TEXT(P58,"YYYY-MM")</f>
        <v>2026-01</v>
      </c>
      <c r="U58" s="18" t="n">
        <f aca="false">RANK(S58,$S$2:$S$670)+COUNTIF($S$2:S58,S58)-1</f>
        <v>623</v>
      </c>
      <c r="V58" s="20" t="n">
        <f aca="false">ROUND((R58-Q58)*24,4)</f>
        <v>18.8</v>
      </c>
      <c r="W58" s="20" t="n">
        <f aca="false">ROUND((R58-P58)*24,4)</f>
        <v>19</v>
      </c>
      <c r="X58" s="18" t="str">
        <f aca="false">TEXT(P58,"dddd")</f>
        <v>Wednesday</v>
      </c>
      <c r="Y58" s="18" t="n">
        <f aca="false">HOUR(Q58)</f>
        <v>16</v>
      </c>
    </row>
    <row r="59" customFormat="false" ht="15" hidden="false" customHeight="false" outlineLevel="0" collapsed="false">
      <c r="A59" s="18" t="s">
        <v>31</v>
      </c>
      <c r="B59" s="18" t="s">
        <v>161</v>
      </c>
      <c r="C59" s="18" t="s">
        <v>162</v>
      </c>
      <c r="D59" s="18" t="s">
        <v>46</v>
      </c>
      <c r="E59" s="18" t="s">
        <v>198</v>
      </c>
      <c r="F59" s="18" t="n">
        <v>2601</v>
      </c>
      <c r="G59" s="18" t="s">
        <v>127</v>
      </c>
      <c r="H59" s="18" t="s">
        <v>227</v>
      </c>
      <c r="I59" s="18" t="s">
        <v>22</v>
      </c>
      <c r="J59" s="18" t="s">
        <v>13</v>
      </c>
      <c r="K59" s="18" t="s">
        <v>12</v>
      </c>
      <c r="L59" s="18" t="s">
        <v>125</v>
      </c>
      <c r="M59" s="18" t="s">
        <v>125</v>
      </c>
      <c r="N59" s="18" t="s">
        <v>125</v>
      </c>
      <c r="O59" s="18"/>
      <c r="P59" s="19" t="n">
        <v>46044.7083333333</v>
      </c>
      <c r="Q59" s="19" t="n">
        <v>46044.75</v>
      </c>
      <c r="R59" s="19" t="n">
        <v>46045.125</v>
      </c>
      <c r="S59" s="20" t="n">
        <f aca="false">ROUND((Q59-P59)*24,4)</f>
        <v>1</v>
      </c>
      <c r="T59" s="18" t="str">
        <f aca="false">TEXT(P59,"YYYY-MM")</f>
        <v>2026-01</v>
      </c>
      <c r="U59" s="18" t="n">
        <f aca="false">RANK(S59,$S$2:$S$670)+COUNTIF($S$2:S59,S59)-1</f>
        <v>391</v>
      </c>
      <c r="V59" s="20" t="n">
        <f aca="false">ROUND((R59-Q59)*24,4)</f>
        <v>9</v>
      </c>
      <c r="W59" s="20" t="n">
        <f aca="false">ROUND((R59-P59)*24,4)</f>
        <v>10</v>
      </c>
      <c r="X59" s="18" t="str">
        <f aca="false">TEXT(P59,"dddd")</f>
        <v>Thursday</v>
      </c>
      <c r="Y59" s="18" t="n">
        <f aca="false">HOUR(Q59)</f>
        <v>18</v>
      </c>
    </row>
    <row r="60" customFormat="false" ht="15" hidden="false" customHeight="false" outlineLevel="0" collapsed="false">
      <c r="A60" s="18" t="s">
        <v>31</v>
      </c>
      <c r="B60" s="18" t="s">
        <v>161</v>
      </c>
      <c r="C60" s="18" t="s">
        <v>162</v>
      </c>
      <c r="D60" s="18" t="s">
        <v>46</v>
      </c>
      <c r="E60" s="18" t="s">
        <v>168</v>
      </c>
      <c r="F60" s="18" t="n">
        <v>2601</v>
      </c>
      <c r="G60" s="18" t="s">
        <v>125</v>
      </c>
      <c r="H60" s="18" t="s">
        <v>231</v>
      </c>
      <c r="I60" s="18" t="s">
        <v>18</v>
      </c>
      <c r="J60" s="18" t="s">
        <v>12</v>
      </c>
      <c r="K60" s="18" t="s">
        <v>13</v>
      </c>
      <c r="L60" s="18" t="s">
        <v>125</v>
      </c>
      <c r="M60" s="18" t="s">
        <v>125</v>
      </c>
      <c r="N60" s="18" t="s">
        <v>125</v>
      </c>
      <c r="O60" s="18"/>
      <c r="P60" s="19" t="n">
        <v>46045.3333333333</v>
      </c>
      <c r="Q60" s="19" t="n">
        <v>46045.4166666667</v>
      </c>
      <c r="R60" s="19" t="n">
        <v>46046.2583333333</v>
      </c>
      <c r="S60" s="20" t="n">
        <f aca="false">ROUND((Q60-P60)*24,4)</f>
        <v>2</v>
      </c>
      <c r="T60" s="18" t="str">
        <f aca="false">TEXT(P60,"YYYY-MM")</f>
        <v>2026-01</v>
      </c>
      <c r="U60" s="18" t="n">
        <f aca="false">RANK(S60,$S$2:$S$670)+COUNTIF($S$2:S60,S60)-1</f>
        <v>318</v>
      </c>
      <c r="V60" s="20" t="n">
        <f aca="false">ROUND((R60-Q60)*24,4)</f>
        <v>20.2</v>
      </c>
      <c r="W60" s="20" t="n">
        <f aca="false">ROUND((R60-P60)*24,4)</f>
        <v>22.2</v>
      </c>
      <c r="X60" s="18" t="str">
        <f aca="false">TEXT(P60,"dddd")</f>
        <v>Friday</v>
      </c>
      <c r="Y60" s="18" t="n">
        <f aca="false">HOUR(Q60)</f>
        <v>10</v>
      </c>
    </row>
    <row r="61" customFormat="false" ht="15" hidden="false" customHeight="false" outlineLevel="0" collapsed="false">
      <c r="A61" s="18" t="s">
        <v>34</v>
      </c>
      <c r="B61" s="18" t="s">
        <v>240</v>
      </c>
      <c r="C61" s="18" t="s">
        <v>241</v>
      </c>
      <c r="D61" s="18" t="s">
        <v>50</v>
      </c>
      <c r="E61" s="18" t="s">
        <v>163</v>
      </c>
      <c r="F61" s="18" t="n">
        <v>2601</v>
      </c>
      <c r="G61" s="18" t="s">
        <v>127</v>
      </c>
      <c r="H61" s="18" t="s">
        <v>227</v>
      </c>
      <c r="I61" s="18" t="s">
        <v>27</v>
      </c>
      <c r="J61" s="18" t="s">
        <v>13</v>
      </c>
      <c r="K61" s="18" t="s">
        <v>12</v>
      </c>
      <c r="L61" s="18" t="s">
        <v>125</v>
      </c>
      <c r="M61" s="18" t="s">
        <v>125</v>
      </c>
      <c r="N61" s="18" t="s">
        <v>125</v>
      </c>
      <c r="O61" s="18"/>
      <c r="P61" s="19" t="n">
        <v>46045.5</v>
      </c>
      <c r="Q61" s="19" t="n">
        <v>46045.5416666667</v>
      </c>
      <c r="R61" s="19" t="n">
        <v>46045.9583333333</v>
      </c>
      <c r="S61" s="20" t="n">
        <f aca="false">ROUND((Q61-P61)*24,4)</f>
        <v>1</v>
      </c>
      <c r="T61" s="18" t="str">
        <f aca="false">TEXT(P61,"YYYY-MM")</f>
        <v>2026-01</v>
      </c>
      <c r="U61" s="18" t="n">
        <f aca="false">RANK(S61,$S$2:$S$670)+COUNTIF($S$2:S61,S61)-1</f>
        <v>392</v>
      </c>
      <c r="V61" s="20" t="n">
        <f aca="false">ROUND((R61-Q61)*24,4)</f>
        <v>10</v>
      </c>
      <c r="W61" s="20" t="n">
        <f aca="false">ROUND((R61-P61)*24,4)</f>
        <v>11</v>
      </c>
      <c r="X61" s="18" t="str">
        <f aca="false">TEXT(P61,"dddd")</f>
        <v>Friday</v>
      </c>
      <c r="Y61" s="18" t="n">
        <f aca="false">HOUR(Q61)</f>
        <v>13</v>
      </c>
    </row>
    <row r="62" customFormat="false" ht="15" hidden="false" customHeight="false" outlineLevel="0" collapsed="false">
      <c r="A62" s="18" t="s">
        <v>34</v>
      </c>
      <c r="B62" s="18" t="s">
        <v>240</v>
      </c>
      <c r="C62" s="18" t="s">
        <v>241</v>
      </c>
      <c r="D62" s="18" t="s">
        <v>50</v>
      </c>
      <c r="E62" s="18" t="s">
        <v>176</v>
      </c>
      <c r="F62" s="18" t="n">
        <v>2601</v>
      </c>
      <c r="G62" s="18" t="s">
        <v>125</v>
      </c>
      <c r="H62" s="18" t="s">
        <v>231</v>
      </c>
      <c r="I62" s="18" t="s">
        <v>17</v>
      </c>
      <c r="J62" s="18" t="s">
        <v>12</v>
      </c>
      <c r="K62" s="18" t="s">
        <v>13</v>
      </c>
      <c r="L62" s="18" t="s">
        <v>125</v>
      </c>
      <c r="M62" s="18" t="s">
        <v>125</v>
      </c>
      <c r="N62" s="18" t="s">
        <v>125</v>
      </c>
      <c r="O62" s="18"/>
      <c r="P62" s="19" t="n">
        <v>46046.0416666667</v>
      </c>
      <c r="Q62" s="19" t="n">
        <v>46046.2916666667</v>
      </c>
      <c r="R62" s="19" t="n">
        <v>46048.25</v>
      </c>
      <c r="S62" s="20" t="n">
        <f aca="false">ROUND((Q62-P62)*24,4)</f>
        <v>6</v>
      </c>
      <c r="T62" s="18" t="str">
        <f aca="false">TEXT(P62,"YYYY-MM")</f>
        <v>2026-01</v>
      </c>
      <c r="U62" s="18" t="n">
        <f aca="false">RANK(S62,$S$2:$S$670)+COUNTIF($S$2:S62,S62)-1</f>
        <v>205</v>
      </c>
      <c r="V62" s="20" t="n">
        <f aca="false">ROUND((R62-Q62)*24,4)</f>
        <v>47</v>
      </c>
      <c r="W62" s="20" t="n">
        <f aca="false">ROUND((R62-P62)*24,4)</f>
        <v>53</v>
      </c>
      <c r="X62" s="18" t="str">
        <f aca="false">TEXT(P62,"dddd")</f>
        <v>Saturday</v>
      </c>
      <c r="Y62" s="18" t="n">
        <f aca="false">HOUR(Q62)</f>
        <v>7</v>
      </c>
    </row>
    <row r="63" customFormat="false" ht="15" hidden="false" customHeight="false" outlineLevel="0" collapsed="false">
      <c r="A63" s="18" t="s">
        <v>37</v>
      </c>
      <c r="B63" s="18" t="s">
        <v>242</v>
      </c>
      <c r="C63" s="18" t="s">
        <v>243</v>
      </c>
      <c r="D63" s="18" t="s">
        <v>46</v>
      </c>
      <c r="E63" s="18" t="s">
        <v>163</v>
      </c>
      <c r="F63" s="18" t="n">
        <v>2601</v>
      </c>
      <c r="G63" s="18" t="s">
        <v>127</v>
      </c>
      <c r="H63" s="18" t="s">
        <v>227</v>
      </c>
      <c r="I63" s="18" t="s">
        <v>20</v>
      </c>
      <c r="J63" s="18" t="s">
        <v>13</v>
      </c>
      <c r="K63" s="18" t="s">
        <v>12</v>
      </c>
      <c r="L63" s="18" t="s">
        <v>125</v>
      </c>
      <c r="M63" s="18" t="s">
        <v>125</v>
      </c>
      <c r="N63" s="18" t="s">
        <v>125</v>
      </c>
      <c r="O63" s="18"/>
      <c r="P63" s="19" t="n">
        <v>46046.1875</v>
      </c>
      <c r="Q63" s="19" t="n">
        <v>46046.5416666667</v>
      </c>
      <c r="R63" s="19" t="n">
        <v>46046.9583333333</v>
      </c>
      <c r="S63" s="20" t="n">
        <f aca="false">ROUND((Q63-P63)*24,4)</f>
        <v>8.5</v>
      </c>
      <c r="T63" s="18" t="str">
        <f aca="false">TEXT(P63,"YYYY-MM")</f>
        <v>2026-01</v>
      </c>
      <c r="U63" s="18" t="n">
        <f aca="false">RANK(S63,$S$2:$S$670)+COUNTIF($S$2:S63,S63)-1</f>
        <v>166</v>
      </c>
      <c r="V63" s="20" t="n">
        <f aca="false">ROUND((R63-Q63)*24,4)</f>
        <v>10</v>
      </c>
      <c r="W63" s="20" t="n">
        <f aca="false">ROUND((R63-P63)*24,4)</f>
        <v>18.5</v>
      </c>
      <c r="X63" s="18" t="str">
        <f aca="false">TEXT(P63,"dddd")</f>
        <v>Saturday</v>
      </c>
      <c r="Y63" s="18" t="n">
        <f aca="false">HOUR(Q63)</f>
        <v>13</v>
      </c>
    </row>
    <row r="64" customFormat="false" ht="15" hidden="false" customHeight="false" outlineLevel="0" collapsed="false">
      <c r="A64" s="18" t="s">
        <v>38</v>
      </c>
      <c r="B64" s="18" t="s">
        <v>244</v>
      </c>
      <c r="C64" s="18" t="s">
        <v>245</v>
      </c>
      <c r="D64" s="18" t="s">
        <v>47</v>
      </c>
      <c r="E64" s="18" t="s">
        <v>163</v>
      </c>
      <c r="F64" s="18" t="n">
        <v>2601</v>
      </c>
      <c r="G64" s="18" t="s">
        <v>127</v>
      </c>
      <c r="H64" s="18" t="s">
        <v>227</v>
      </c>
      <c r="I64" s="18" t="s">
        <v>23</v>
      </c>
      <c r="J64" s="18" t="s">
        <v>13</v>
      </c>
      <c r="K64" s="18" t="s">
        <v>181</v>
      </c>
      <c r="L64" s="18" t="s">
        <v>125</v>
      </c>
      <c r="M64" s="18" t="s">
        <v>125</v>
      </c>
      <c r="N64" s="18" t="s">
        <v>125</v>
      </c>
      <c r="O64" s="18"/>
      <c r="P64" s="19" t="n">
        <v>46046.4583333333</v>
      </c>
      <c r="Q64" s="19" t="n">
        <v>46046.9930555556</v>
      </c>
      <c r="R64" s="19" t="n">
        <v>46047.7833333333</v>
      </c>
      <c r="S64" s="20" t="n">
        <f aca="false">ROUND((Q64-P64)*24,4)</f>
        <v>12.8333</v>
      </c>
      <c r="T64" s="18" t="str">
        <f aca="false">TEXT(P64,"YYYY-MM")</f>
        <v>2026-01</v>
      </c>
      <c r="U64" s="18" t="n">
        <f aca="false">RANK(S64,$S$2:$S$670)+COUNTIF($S$2:S64,S64)-1</f>
        <v>112</v>
      </c>
      <c r="V64" s="20" t="n">
        <f aca="false">ROUND((R64-Q64)*24,4)</f>
        <v>18.9667</v>
      </c>
      <c r="W64" s="20" t="n">
        <f aca="false">ROUND((R64-P64)*24,4)</f>
        <v>31.8</v>
      </c>
      <c r="X64" s="18" t="str">
        <f aca="false">TEXT(P64,"dddd")</f>
        <v>Saturday</v>
      </c>
      <c r="Y64" s="18" t="n">
        <f aca="false">HOUR(Q64)</f>
        <v>23</v>
      </c>
    </row>
    <row r="65" customFormat="false" ht="15" hidden="false" customHeight="false" outlineLevel="0" collapsed="false">
      <c r="A65" s="18" t="s">
        <v>37</v>
      </c>
      <c r="B65" s="18" t="s">
        <v>242</v>
      </c>
      <c r="C65" s="18" t="s">
        <v>243</v>
      </c>
      <c r="D65" s="18" t="s">
        <v>46</v>
      </c>
      <c r="E65" s="18" t="s">
        <v>176</v>
      </c>
      <c r="F65" s="18" t="n">
        <v>2601</v>
      </c>
      <c r="G65" s="18" t="s">
        <v>125</v>
      </c>
      <c r="H65" s="18" t="s">
        <v>231</v>
      </c>
      <c r="I65" s="18" t="s">
        <v>19</v>
      </c>
      <c r="J65" s="18" t="s">
        <v>12</v>
      </c>
      <c r="K65" s="18" t="s">
        <v>13</v>
      </c>
      <c r="L65" s="18" t="s">
        <v>125</v>
      </c>
      <c r="M65" s="18" t="s">
        <v>125</v>
      </c>
      <c r="N65" s="18" t="s">
        <v>125</v>
      </c>
      <c r="O65" s="18"/>
      <c r="P65" s="19" t="n">
        <v>46047.0416666667</v>
      </c>
      <c r="Q65" s="19" t="n">
        <v>46047.375</v>
      </c>
      <c r="R65" s="19" t="n">
        <v>46048.8333333333</v>
      </c>
      <c r="S65" s="20" t="n">
        <f aca="false">ROUND((Q65-P65)*24,4)</f>
        <v>8</v>
      </c>
      <c r="T65" s="18" t="str">
        <f aca="false">TEXT(P65,"YYYY-MM")</f>
        <v>2026-01</v>
      </c>
      <c r="U65" s="18" t="n">
        <f aca="false">RANK(S65,$S$2:$S$670)+COUNTIF($S$2:S65,S65)-1</f>
        <v>172</v>
      </c>
      <c r="V65" s="20" t="n">
        <f aca="false">ROUND((R65-Q65)*24,4)</f>
        <v>35</v>
      </c>
      <c r="W65" s="20" t="n">
        <f aca="false">ROUND((R65-P65)*24,4)</f>
        <v>43</v>
      </c>
      <c r="X65" s="18" t="str">
        <f aca="false">TEXT(P65,"dddd")</f>
        <v>Sunday</v>
      </c>
      <c r="Y65" s="18" t="n">
        <f aca="false">HOUR(Q65)</f>
        <v>9</v>
      </c>
    </row>
    <row r="66" customFormat="false" ht="15" hidden="false" customHeight="false" outlineLevel="0" collapsed="false">
      <c r="A66" s="18" t="s">
        <v>33</v>
      </c>
      <c r="B66" s="18" t="s">
        <v>246</v>
      </c>
      <c r="C66" s="18" t="s">
        <v>247</v>
      </c>
      <c r="D66" s="18" t="s">
        <v>51</v>
      </c>
      <c r="E66" s="18" t="s">
        <v>163</v>
      </c>
      <c r="F66" s="18" t="n">
        <v>141</v>
      </c>
      <c r="G66" s="18" t="s">
        <v>127</v>
      </c>
      <c r="H66" s="18" t="s">
        <v>248</v>
      </c>
      <c r="I66" s="18" t="s">
        <v>23</v>
      </c>
      <c r="J66" s="18" t="s">
        <v>13</v>
      </c>
      <c r="K66" s="18" t="s">
        <v>12</v>
      </c>
      <c r="L66" s="18" t="s">
        <v>125</v>
      </c>
      <c r="M66" s="18" t="s">
        <v>125</v>
      </c>
      <c r="N66" s="18" t="s">
        <v>125</v>
      </c>
      <c r="O66" s="18" t="s">
        <v>249</v>
      </c>
      <c r="P66" s="19" t="n">
        <v>46047.0416666667</v>
      </c>
      <c r="Q66" s="19" t="n">
        <v>46047.4166666667</v>
      </c>
      <c r="R66" s="19" t="n">
        <v>46047.6666666667</v>
      </c>
      <c r="S66" s="20" t="n">
        <f aca="false">ROUND((Q66-P66)*24,4)</f>
        <v>9</v>
      </c>
      <c r="T66" s="18" t="str">
        <f aca="false">TEXT(P66,"YYYY-MM")</f>
        <v>2026-01</v>
      </c>
      <c r="U66" s="18" t="n">
        <f aca="false">RANK(S66,$S$2:$S$670)+COUNTIF($S$2:S66,S66)-1</f>
        <v>153</v>
      </c>
      <c r="V66" s="20" t="n">
        <f aca="false">ROUND((R66-Q66)*24,4)</f>
        <v>6</v>
      </c>
      <c r="W66" s="20" t="n">
        <f aca="false">ROUND((R66-P66)*24,4)</f>
        <v>15</v>
      </c>
      <c r="X66" s="18" t="str">
        <f aca="false">TEXT(P66,"dddd")</f>
        <v>Sunday</v>
      </c>
      <c r="Y66" s="18" t="n">
        <f aca="false">HOUR(Q66)</f>
        <v>10</v>
      </c>
    </row>
    <row r="67" customFormat="false" ht="15" hidden="false" customHeight="false" outlineLevel="0" collapsed="false">
      <c r="A67" s="18" t="s">
        <v>31</v>
      </c>
      <c r="B67" s="18" t="s">
        <v>161</v>
      </c>
      <c r="C67" s="18" t="s">
        <v>162</v>
      </c>
      <c r="D67" s="18" t="s">
        <v>46</v>
      </c>
      <c r="E67" s="18" t="s">
        <v>163</v>
      </c>
      <c r="F67" s="18" t="n">
        <v>2601</v>
      </c>
      <c r="G67" s="18" t="s">
        <v>125</v>
      </c>
      <c r="H67" s="18" t="s">
        <v>231</v>
      </c>
      <c r="I67" s="18" t="s">
        <v>28</v>
      </c>
      <c r="J67" s="18" t="s">
        <v>13</v>
      </c>
      <c r="K67" s="18" t="s">
        <v>165</v>
      </c>
      <c r="L67" s="18" t="s">
        <v>125</v>
      </c>
      <c r="M67" s="18" t="s">
        <v>125</v>
      </c>
      <c r="N67" s="18" t="s">
        <v>125</v>
      </c>
      <c r="O67" s="18"/>
      <c r="P67" s="19" t="n">
        <v>46047.3333333333</v>
      </c>
      <c r="Q67" s="19" t="n">
        <v>46047.375</v>
      </c>
      <c r="R67" s="19" t="n">
        <v>46047.7916666667</v>
      </c>
      <c r="S67" s="20" t="n">
        <f aca="false">ROUND((Q67-P67)*24,4)</f>
        <v>1</v>
      </c>
      <c r="T67" s="18" t="str">
        <f aca="false">TEXT(P67,"YYYY-MM")</f>
        <v>2026-01</v>
      </c>
      <c r="U67" s="18" t="n">
        <f aca="false">RANK(S67,$S$2:$S$670)+COUNTIF($S$2:S67,S67)-1</f>
        <v>393</v>
      </c>
      <c r="V67" s="20" t="n">
        <f aca="false">ROUND((R67-Q67)*24,4)</f>
        <v>10</v>
      </c>
      <c r="W67" s="20" t="n">
        <f aca="false">ROUND((R67-P67)*24,4)</f>
        <v>11</v>
      </c>
      <c r="X67" s="18" t="str">
        <f aca="false">TEXT(P67,"dddd")</f>
        <v>Sunday</v>
      </c>
      <c r="Y67" s="18" t="n">
        <f aca="false">HOUR(Q67)</f>
        <v>9</v>
      </c>
    </row>
    <row r="68" customFormat="false" ht="15" hidden="false" customHeight="false" outlineLevel="0" collapsed="false">
      <c r="A68" s="18" t="s">
        <v>39</v>
      </c>
      <c r="B68" s="18" t="s">
        <v>250</v>
      </c>
      <c r="C68" s="18" t="s">
        <v>251</v>
      </c>
      <c r="D68" s="18" t="s">
        <v>46</v>
      </c>
      <c r="E68" s="18" t="s">
        <v>176</v>
      </c>
      <c r="F68" s="18" t="n">
        <v>2601</v>
      </c>
      <c r="G68" s="18" t="s">
        <v>125</v>
      </c>
      <c r="H68" s="18" t="s">
        <v>231</v>
      </c>
      <c r="I68" s="18" t="s">
        <v>21</v>
      </c>
      <c r="J68" s="18" t="s">
        <v>13</v>
      </c>
      <c r="K68" s="18" t="s">
        <v>216</v>
      </c>
      <c r="L68" s="18" t="s">
        <v>144</v>
      </c>
      <c r="M68" s="18" t="s">
        <v>125</v>
      </c>
      <c r="N68" s="18" t="s">
        <v>125</v>
      </c>
      <c r="O68" s="18"/>
      <c r="P68" s="19" t="n">
        <v>46047.5840277778</v>
      </c>
      <c r="Q68" s="19" t="n">
        <v>46047.5847222222</v>
      </c>
      <c r="R68" s="19" t="n">
        <v>46047.5854166667</v>
      </c>
      <c r="S68" s="20" t="n">
        <f aca="false">ROUND((Q68-P68)*24,4)</f>
        <v>0.0167</v>
      </c>
      <c r="T68" s="18" t="str">
        <f aca="false">TEXT(P68,"YYYY-MM")</f>
        <v>2026-01</v>
      </c>
      <c r="U68" s="18" t="n">
        <f aca="false">RANK(S68,$S$2:$S$670)+COUNTIF($S$2:S68,S68)-1</f>
        <v>628</v>
      </c>
      <c r="V68" s="20" t="n">
        <f aca="false">ROUND((R68-Q68)*24,4)</f>
        <v>0.0167</v>
      </c>
      <c r="W68" s="20" t="n">
        <f aca="false">ROUND((R68-P68)*24,4)</f>
        <v>0.0333</v>
      </c>
      <c r="X68" s="18" t="str">
        <f aca="false">TEXT(P68,"dddd")</f>
        <v>Sunday</v>
      </c>
      <c r="Y68" s="18" t="n">
        <f aca="false">HOUR(Q68)</f>
        <v>14</v>
      </c>
    </row>
    <row r="69" customFormat="false" ht="15" hidden="false" customHeight="false" outlineLevel="0" collapsed="false">
      <c r="A69" s="18" t="s">
        <v>33</v>
      </c>
      <c r="B69" s="18" t="s">
        <v>246</v>
      </c>
      <c r="C69" s="18" t="s">
        <v>247</v>
      </c>
      <c r="D69" s="18" t="s">
        <v>51</v>
      </c>
      <c r="E69" s="18" t="s">
        <v>176</v>
      </c>
      <c r="F69" s="18" t="n">
        <v>141</v>
      </c>
      <c r="G69" s="18" t="s">
        <v>125</v>
      </c>
      <c r="H69" s="18" t="s">
        <v>252</v>
      </c>
      <c r="I69" s="18" t="s">
        <v>18</v>
      </c>
      <c r="J69" s="18" t="s">
        <v>12</v>
      </c>
      <c r="K69" s="18" t="s">
        <v>13</v>
      </c>
      <c r="L69" s="18" t="s">
        <v>125</v>
      </c>
      <c r="M69" s="18" t="s">
        <v>125</v>
      </c>
      <c r="N69" s="18" t="s">
        <v>125</v>
      </c>
      <c r="O69" s="18" t="s">
        <v>249</v>
      </c>
      <c r="P69" s="19" t="n">
        <v>46047.7916666667</v>
      </c>
      <c r="Q69" s="19" t="n">
        <v>46047.875</v>
      </c>
      <c r="R69" s="19" t="n">
        <v>46048.8333333333</v>
      </c>
      <c r="S69" s="20" t="n">
        <f aca="false">ROUND((Q69-P69)*24,4)</f>
        <v>2</v>
      </c>
      <c r="T69" s="18" t="str">
        <f aca="false">TEXT(P69,"YYYY-MM")</f>
        <v>2026-01</v>
      </c>
      <c r="U69" s="18" t="n">
        <f aca="false">RANK(S69,$S$2:$S$670)+COUNTIF($S$2:S69,S69)-1</f>
        <v>319</v>
      </c>
      <c r="V69" s="20" t="n">
        <f aca="false">ROUND((R69-Q69)*24,4)</f>
        <v>23</v>
      </c>
      <c r="W69" s="20" t="n">
        <f aca="false">ROUND((R69-P69)*24,4)</f>
        <v>25</v>
      </c>
      <c r="X69" s="18" t="str">
        <f aca="false">TEXT(P69,"dddd")</f>
        <v>Sunday</v>
      </c>
      <c r="Y69" s="18" t="n">
        <f aca="false">HOUR(Q69)</f>
        <v>21</v>
      </c>
    </row>
    <row r="70" customFormat="false" ht="15" hidden="false" customHeight="false" outlineLevel="0" collapsed="false">
      <c r="A70" s="18" t="s">
        <v>34</v>
      </c>
      <c r="B70" s="18" t="s">
        <v>240</v>
      </c>
      <c r="C70" s="18" t="s">
        <v>241</v>
      </c>
      <c r="D70" s="18" t="s">
        <v>50</v>
      </c>
      <c r="E70" s="18" t="s">
        <v>185</v>
      </c>
      <c r="F70" s="18" t="n">
        <v>2601</v>
      </c>
      <c r="G70" s="18" t="s">
        <v>125</v>
      </c>
      <c r="H70" s="18" t="s">
        <v>231</v>
      </c>
      <c r="I70" s="18" t="s">
        <v>20</v>
      </c>
      <c r="J70" s="18" t="s">
        <v>13</v>
      </c>
      <c r="K70" s="18" t="s">
        <v>165</v>
      </c>
      <c r="L70" s="18" t="s">
        <v>125</v>
      </c>
      <c r="M70" s="18" t="s">
        <v>125</v>
      </c>
      <c r="N70" s="18" t="s">
        <v>125</v>
      </c>
      <c r="O70" s="18"/>
      <c r="P70" s="19" t="n">
        <v>46048.4583333333</v>
      </c>
      <c r="Q70" s="19" t="n">
        <v>46048.75</v>
      </c>
      <c r="R70" s="19" t="n">
        <v>46049.1666666667</v>
      </c>
      <c r="S70" s="20" t="n">
        <f aca="false">ROUND((Q70-P70)*24,4)</f>
        <v>7</v>
      </c>
      <c r="T70" s="18" t="str">
        <f aca="false">TEXT(P70,"YYYY-MM")</f>
        <v>2026-01</v>
      </c>
      <c r="U70" s="18" t="n">
        <f aca="false">RANK(S70,$S$2:$S$670)+COUNTIF($S$2:S70,S70)-1</f>
        <v>181</v>
      </c>
      <c r="V70" s="20" t="n">
        <f aca="false">ROUND((R70-Q70)*24,4)</f>
        <v>10</v>
      </c>
      <c r="W70" s="20" t="n">
        <f aca="false">ROUND((R70-P70)*24,4)</f>
        <v>17</v>
      </c>
      <c r="X70" s="18" t="str">
        <f aca="false">TEXT(P70,"dddd")</f>
        <v>Monday</v>
      </c>
      <c r="Y70" s="18" t="n">
        <f aca="false">HOUR(Q70)</f>
        <v>18</v>
      </c>
    </row>
    <row r="71" customFormat="false" ht="15" hidden="false" customHeight="false" outlineLevel="0" collapsed="false">
      <c r="A71" s="18" t="s">
        <v>32</v>
      </c>
      <c r="B71" s="18" t="s">
        <v>182</v>
      </c>
      <c r="C71" s="18" t="s">
        <v>183</v>
      </c>
      <c r="D71" s="18" t="s">
        <v>48</v>
      </c>
      <c r="E71" s="18" t="s">
        <v>168</v>
      </c>
      <c r="F71" s="18" t="n">
        <v>2601</v>
      </c>
      <c r="G71" s="18" t="s">
        <v>127</v>
      </c>
      <c r="H71" s="18" t="s">
        <v>227</v>
      </c>
      <c r="I71" s="18" t="s">
        <v>23</v>
      </c>
      <c r="J71" s="18" t="s">
        <v>13</v>
      </c>
      <c r="K71" s="18" t="s">
        <v>12</v>
      </c>
      <c r="L71" s="18" t="s">
        <v>125</v>
      </c>
      <c r="M71" s="18" t="s">
        <v>125</v>
      </c>
      <c r="N71" s="18" t="s">
        <v>125</v>
      </c>
      <c r="O71" s="18"/>
      <c r="P71" s="19" t="n">
        <v>46048.6666666667</v>
      </c>
      <c r="Q71" s="19" t="n">
        <v>46048.7083333333</v>
      </c>
      <c r="R71" s="19" t="n">
        <v>46049</v>
      </c>
      <c r="S71" s="20" t="n">
        <f aca="false">ROUND((Q71-P71)*24,4)</f>
        <v>1</v>
      </c>
      <c r="T71" s="18" t="str">
        <f aca="false">TEXT(P71,"YYYY-MM")</f>
        <v>2026-01</v>
      </c>
      <c r="U71" s="18" t="n">
        <f aca="false">RANK(S71,$S$2:$S$670)+COUNTIF($S$2:S71,S71)-1</f>
        <v>394</v>
      </c>
      <c r="V71" s="20" t="n">
        <f aca="false">ROUND((R71-Q71)*24,4)</f>
        <v>7</v>
      </c>
      <c r="W71" s="20" t="n">
        <f aca="false">ROUND((R71-P71)*24,4)</f>
        <v>8</v>
      </c>
      <c r="X71" s="18" t="str">
        <f aca="false">TEXT(P71,"dddd")</f>
        <v>Monday</v>
      </c>
      <c r="Y71" s="18" t="n">
        <f aca="false">HOUR(Q71)</f>
        <v>17</v>
      </c>
    </row>
    <row r="72" customFormat="false" ht="15" hidden="false" customHeight="false" outlineLevel="0" collapsed="false">
      <c r="A72" s="18" t="s">
        <v>33</v>
      </c>
      <c r="B72" s="18" t="s">
        <v>246</v>
      </c>
      <c r="C72" s="18" t="s">
        <v>247</v>
      </c>
      <c r="D72" s="18" t="s">
        <v>51</v>
      </c>
      <c r="E72" s="18" t="s">
        <v>185</v>
      </c>
      <c r="F72" s="18" t="n">
        <v>141</v>
      </c>
      <c r="G72" s="18" t="s">
        <v>125</v>
      </c>
      <c r="H72" s="18" t="s">
        <v>252</v>
      </c>
      <c r="I72" s="18" t="s">
        <v>23</v>
      </c>
      <c r="J72" s="18" t="s">
        <v>13</v>
      </c>
      <c r="K72" s="18" t="s">
        <v>165</v>
      </c>
      <c r="L72" s="18" t="s">
        <v>125</v>
      </c>
      <c r="M72" s="18" t="s">
        <v>125</v>
      </c>
      <c r="N72" s="18" t="s">
        <v>125</v>
      </c>
      <c r="O72" s="18" t="s">
        <v>249</v>
      </c>
      <c r="P72" s="19" t="n">
        <v>46049</v>
      </c>
      <c r="Q72" s="19" t="n">
        <v>46049.125</v>
      </c>
      <c r="R72" s="19" t="n">
        <v>46049.4375</v>
      </c>
      <c r="S72" s="20" t="n">
        <f aca="false">ROUND((Q72-P72)*24,4)</f>
        <v>3</v>
      </c>
      <c r="T72" s="18" t="str">
        <f aca="false">TEXT(P72,"YYYY-MM")</f>
        <v>2026-01</v>
      </c>
      <c r="U72" s="18" t="n">
        <f aca="false">RANK(S72,$S$2:$S$670)+COUNTIF($S$2:S72,S72)-1</f>
        <v>274</v>
      </c>
      <c r="V72" s="20" t="n">
        <f aca="false">ROUND((R72-Q72)*24,4)</f>
        <v>7.5</v>
      </c>
      <c r="W72" s="20" t="n">
        <f aca="false">ROUND((R72-P72)*24,4)</f>
        <v>10.5</v>
      </c>
      <c r="X72" s="18" t="str">
        <f aca="false">TEXT(P72,"dddd")</f>
        <v>Tuesday</v>
      </c>
      <c r="Y72" s="18" t="n">
        <f aca="false">HOUR(Q72)</f>
        <v>3</v>
      </c>
    </row>
    <row r="73" customFormat="false" ht="15" hidden="false" customHeight="false" outlineLevel="0" collapsed="false">
      <c r="A73" s="18" t="s">
        <v>32</v>
      </c>
      <c r="B73" s="18" t="s">
        <v>182</v>
      </c>
      <c r="C73" s="18" t="s">
        <v>183</v>
      </c>
      <c r="D73" s="18" t="s">
        <v>48</v>
      </c>
      <c r="E73" s="18" t="s">
        <v>163</v>
      </c>
      <c r="F73" s="18" t="n">
        <v>2601</v>
      </c>
      <c r="G73" s="18" t="s">
        <v>125</v>
      </c>
      <c r="H73" s="18" t="s">
        <v>231</v>
      </c>
      <c r="I73" s="18" t="s">
        <v>17</v>
      </c>
      <c r="J73" s="18" t="s">
        <v>12</v>
      </c>
      <c r="K73" s="18" t="s">
        <v>13</v>
      </c>
      <c r="L73" s="18" t="s">
        <v>125</v>
      </c>
      <c r="M73" s="18" t="s">
        <v>125</v>
      </c>
      <c r="N73" s="18" t="s">
        <v>125</v>
      </c>
      <c r="O73" s="18"/>
      <c r="P73" s="19" t="n">
        <v>46049.0208333333</v>
      </c>
      <c r="Q73" s="19" t="n">
        <v>46049.3958333333</v>
      </c>
      <c r="R73" s="19" t="n">
        <v>46050.3333333333</v>
      </c>
      <c r="S73" s="20" t="n">
        <f aca="false">ROUND((Q73-P73)*24,4)</f>
        <v>9</v>
      </c>
      <c r="T73" s="18" t="str">
        <f aca="false">TEXT(P73,"YYYY-MM")</f>
        <v>2026-01</v>
      </c>
      <c r="U73" s="18" t="n">
        <f aca="false">RANK(S73,$S$2:$S$670)+COUNTIF($S$2:S73,S73)-1</f>
        <v>154</v>
      </c>
      <c r="V73" s="20" t="n">
        <f aca="false">ROUND((R73-Q73)*24,4)</f>
        <v>22.5</v>
      </c>
      <c r="W73" s="20" t="n">
        <f aca="false">ROUND((R73-P73)*24,4)</f>
        <v>31.5</v>
      </c>
      <c r="X73" s="18" t="str">
        <f aca="false">TEXT(P73,"dddd")</f>
        <v>Tuesday</v>
      </c>
      <c r="Y73" s="18" t="n">
        <f aca="false">HOUR(Q73)</f>
        <v>9</v>
      </c>
    </row>
    <row r="74" customFormat="false" ht="15" hidden="false" customHeight="false" outlineLevel="0" collapsed="false">
      <c r="A74" s="18" t="s">
        <v>37</v>
      </c>
      <c r="B74" s="18" t="s">
        <v>242</v>
      </c>
      <c r="C74" s="18" t="s">
        <v>243</v>
      </c>
      <c r="D74" s="18" t="s">
        <v>46</v>
      </c>
      <c r="E74" s="18" t="s">
        <v>185</v>
      </c>
      <c r="F74" s="18" t="n">
        <v>2601</v>
      </c>
      <c r="G74" s="18" t="s">
        <v>125</v>
      </c>
      <c r="H74" s="18" t="s">
        <v>231</v>
      </c>
      <c r="I74" s="18" t="s">
        <v>20</v>
      </c>
      <c r="J74" s="18" t="s">
        <v>13</v>
      </c>
      <c r="K74" s="18" t="s">
        <v>165</v>
      </c>
      <c r="L74" s="18" t="s">
        <v>125</v>
      </c>
      <c r="M74" s="18" t="s">
        <v>125</v>
      </c>
      <c r="N74" s="18" t="s">
        <v>125</v>
      </c>
      <c r="O74" s="18"/>
      <c r="P74" s="19" t="n">
        <v>46049.0416666667</v>
      </c>
      <c r="Q74" s="19" t="n">
        <v>46049.2916666667</v>
      </c>
      <c r="R74" s="19" t="n">
        <v>46049.8333333333</v>
      </c>
      <c r="S74" s="20" t="n">
        <f aca="false">ROUND((Q74-P74)*24,4)</f>
        <v>6</v>
      </c>
      <c r="T74" s="18" t="str">
        <f aca="false">TEXT(P74,"YYYY-MM")</f>
        <v>2026-01</v>
      </c>
      <c r="U74" s="18" t="n">
        <f aca="false">RANK(S74,$S$2:$S$670)+COUNTIF($S$2:S74,S74)-1</f>
        <v>206</v>
      </c>
      <c r="V74" s="20" t="n">
        <f aca="false">ROUND((R74-Q74)*24,4)</f>
        <v>13</v>
      </c>
      <c r="W74" s="20" t="n">
        <f aca="false">ROUND((R74-P74)*24,4)</f>
        <v>19</v>
      </c>
      <c r="X74" s="18" t="str">
        <f aca="false">TEXT(P74,"dddd")</f>
        <v>Tuesday</v>
      </c>
      <c r="Y74" s="18" t="n">
        <f aca="false">HOUR(Q74)</f>
        <v>7</v>
      </c>
    </row>
    <row r="75" customFormat="false" ht="15" hidden="false" customHeight="false" outlineLevel="0" collapsed="false">
      <c r="A75" s="18" t="s">
        <v>36</v>
      </c>
      <c r="B75" s="18" t="s">
        <v>166</v>
      </c>
      <c r="C75" s="18" t="s">
        <v>167</v>
      </c>
      <c r="D75" s="18" t="s">
        <v>47</v>
      </c>
      <c r="E75" s="18" t="s">
        <v>168</v>
      </c>
      <c r="F75" s="18" t="n">
        <v>2601</v>
      </c>
      <c r="G75" s="18" t="s">
        <v>127</v>
      </c>
      <c r="H75" s="18" t="s">
        <v>227</v>
      </c>
      <c r="I75" s="18" t="s">
        <v>23</v>
      </c>
      <c r="J75" s="18" t="s">
        <v>13</v>
      </c>
      <c r="K75" s="18" t="s">
        <v>12</v>
      </c>
      <c r="L75" s="18" t="s">
        <v>125</v>
      </c>
      <c r="M75" s="18" t="s">
        <v>125</v>
      </c>
      <c r="N75" s="18" t="s">
        <v>125</v>
      </c>
      <c r="O75" s="18"/>
      <c r="P75" s="19" t="n">
        <v>46049.4791666667</v>
      </c>
      <c r="Q75" s="19" t="n">
        <v>46049.5625</v>
      </c>
      <c r="R75" s="19" t="n">
        <v>46049.75</v>
      </c>
      <c r="S75" s="20" t="n">
        <f aca="false">ROUND((Q75-P75)*24,4)</f>
        <v>2</v>
      </c>
      <c r="T75" s="18" t="str">
        <f aca="false">TEXT(P75,"YYYY-MM")</f>
        <v>2026-01</v>
      </c>
      <c r="U75" s="18" t="n">
        <f aca="false">RANK(S75,$S$2:$S$670)+COUNTIF($S$2:S75,S75)-1</f>
        <v>320</v>
      </c>
      <c r="V75" s="20" t="n">
        <f aca="false">ROUND((R75-Q75)*24,4)</f>
        <v>4.5</v>
      </c>
      <c r="W75" s="20" t="n">
        <f aca="false">ROUND((R75-P75)*24,4)</f>
        <v>6.5</v>
      </c>
      <c r="X75" s="18" t="str">
        <f aca="false">TEXT(P75,"dddd")</f>
        <v>Tuesday</v>
      </c>
      <c r="Y75" s="18" t="n">
        <f aca="false">HOUR(Q75)</f>
        <v>13</v>
      </c>
    </row>
    <row r="76" customFormat="false" ht="15" hidden="false" customHeight="false" outlineLevel="0" collapsed="false">
      <c r="A76" s="18" t="s">
        <v>36</v>
      </c>
      <c r="B76" s="18" t="s">
        <v>166</v>
      </c>
      <c r="C76" s="18" t="s">
        <v>167</v>
      </c>
      <c r="D76" s="18" t="s">
        <v>47</v>
      </c>
      <c r="E76" s="18" t="s">
        <v>163</v>
      </c>
      <c r="F76" s="18" t="n">
        <v>2601</v>
      </c>
      <c r="G76" s="18" t="s">
        <v>127</v>
      </c>
      <c r="H76" s="18" t="s">
        <v>227</v>
      </c>
      <c r="I76" s="18" t="s">
        <v>17</v>
      </c>
      <c r="J76" s="18" t="s">
        <v>12</v>
      </c>
      <c r="K76" s="18" t="s">
        <v>12</v>
      </c>
      <c r="L76" s="18" t="s">
        <v>125</v>
      </c>
      <c r="M76" s="18" t="s">
        <v>125</v>
      </c>
      <c r="N76" s="18" t="s">
        <v>125</v>
      </c>
      <c r="O76" s="18"/>
      <c r="P76" s="19" t="n">
        <v>46049.8333333333</v>
      </c>
      <c r="Q76" s="19" t="n">
        <v>46050.375</v>
      </c>
      <c r="R76" s="19" t="n">
        <v>46051.3333333333</v>
      </c>
      <c r="S76" s="20" t="n">
        <f aca="false">ROUND((Q76-P76)*24,4)</f>
        <v>13</v>
      </c>
      <c r="T76" s="18" t="str">
        <f aca="false">TEXT(P76,"YYYY-MM")</f>
        <v>2026-01</v>
      </c>
      <c r="U76" s="18" t="n">
        <f aca="false">RANK(S76,$S$2:$S$670)+COUNTIF($S$2:S76,S76)-1</f>
        <v>102</v>
      </c>
      <c r="V76" s="20" t="n">
        <f aca="false">ROUND((R76-Q76)*24,4)</f>
        <v>23</v>
      </c>
      <c r="W76" s="20" t="n">
        <f aca="false">ROUND((R76-P76)*24,4)</f>
        <v>36</v>
      </c>
      <c r="X76" s="18" t="str">
        <f aca="false">TEXT(P76,"dddd")</f>
        <v>Tuesday</v>
      </c>
      <c r="Y76" s="18" t="n">
        <f aca="false">HOUR(Q76)</f>
        <v>9</v>
      </c>
    </row>
    <row r="77" customFormat="false" ht="15" hidden="false" customHeight="false" outlineLevel="0" collapsed="false">
      <c r="A77" s="18" t="s">
        <v>35</v>
      </c>
      <c r="B77" s="18" t="s">
        <v>166</v>
      </c>
      <c r="C77" s="18" t="s">
        <v>167</v>
      </c>
      <c r="D77" s="18" t="s">
        <v>47</v>
      </c>
      <c r="E77" s="18" t="s">
        <v>168</v>
      </c>
      <c r="F77" s="18" t="n">
        <v>2601</v>
      </c>
      <c r="G77" s="18" t="s">
        <v>125</v>
      </c>
      <c r="H77" s="18" t="s">
        <v>231</v>
      </c>
      <c r="I77" s="18" t="s">
        <v>19</v>
      </c>
      <c r="J77" s="18" t="s">
        <v>12</v>
      </c>
      <c r="K77" s="18" t="s">
        <v>13</v>
      </c>
      <c r="L77" s="18" t="s">
        <v>125</v>
      </c>
      <c r="M77" s="18" t="s">
        <v>125</v>
      </c>
      <c r="N77" s="18" t="s">
        <v>125</v>
      </c>
      <c r="O77" s="18"/>
      <c r="P77" s="19" t="n">
        <v>46049.8333333333</v>
      </c>
      <c r="Q77" s="19" t="n">
        <v>46050.3541666667</v>
      </c>
      <c r="R77" s="19" t="n">
        <v>46051.3333333333</v>
      </c>
      <c r="S77" s="20" t="n">
        <f aca="false">ROUND((Q77-P77)*24,4)</f>
        <v>12.5</v>
      </c>
      <c r="T77" s="18" t="str">
        <f aca="false">TEXT(P77,"YYYY-MM")</f>
        <v>2026-01</v>
      </c>
      <c r="U77" s="18" t="n">
        <f aca="false">RANK(S77,$S$2:$S$670)+COUNTIF($S$2:S77,S77)-1</f>
        <v>113</v>
      </c>
      <c r="V77" s="20" t="n">
        <f aca="false">ROUND((R77-Q77)*24,4)</f>
        <v>23.5</v>
      </c>
      <c r="W77" s="20" t="n">
        <f aca="false">ROUND((R77-P77)*24,4)</f>
        <v>36</v>
      </c>
      <c r="X77" s="18" t="str">
        <f aca="false">TEXT(P77,"dddd")</f>
        <v>Tuesday</v>
      </c>
      <c r="Y77" s="18" t="n">
        <f aca="false">HOUR(Q77)</f>
        <v>8</v>
      </c>
    </row>
    <row r="78" customFormat="false" ht="15" hidden="false" customHeight="false" outlineLevel="0" collapsed="false">
      <c r="A78" s="18" t="s">
        <v>33</v>
      </c>
      <c r="B78" s="18" t="s">
        <v>174</v>
      </c>
      <c r="C78" s="18" t="s">
        <v>175</v>
      </c>
      <c r="D78" s="18" t="s">
        <v>49</v>
      </c>
      <c r="E78" s="18" t="s">
        <v>163</v>
      </c>
      <c r="F78" s="18" t="n">
        <v>2601</v>
      </c>
      <c r="G78" s="18" t="s">
        <v>127</v>
      </c>
      <c r="H78" s="18" t="s">
        <v>227</v>
      </c>
      <c r="I78" s="18" t="s">
        <v>23</v>
      </c>
      <c r="J78" s="18" t="s">
        <v>13</v>
      </c>
      <c r="K78" s="18" t="s">
        <v>12</v>
      </c>
      <c r="L78" s="18" t="s">
        <v>125</v>
      </c>
      <c r="M78" s="18" t="s">
        <v>125</v>
      </c>
      <c r="N78" s="18" t="s">
        <v>125</v>
      </c>
      <c r="O78" s="18"/>
      <c r="P78" s="19" t="n">
        <v>46050.3333333333</v>
      </c>
      <c r="Q78" s="19" t="n">
        <v>46050.375</v>
      </c>
      <c r="R78" s="19" t="n">
        <v>46050.7083333333</v>
      </c>
      <c r="S78" s="20" t="n">
        <f aca="false">ROUND((Q78-P78)*24,4)</f>
        <v>1</v>
      </c>
      <c r="T78" s="18" t="str">
        <f aca="false">TEXT(P78,"YYYY-MM")</f>
        <v>2026-01</v>
      </c>
      <c r="U78" s="18" t="n">
        <f aca="false">RANK(S78,$S$2:$S$670)+COUNTIF($S$2:S78,S78)-1</f>
        <v>395</v>
      </c>
      <c r="V78" s="20" t="n">
        <f aca="false">ROUND((R78-Q78)*24,4)</f>
        <v>8</v>
      </c>
      <c r="W78" s="20" t="n">
        <f aca="false">ROUND((R78-P78)*24,4)</f>
        <v>9</v>
      </c>
      <c r="X78" s="18" t="str">
        <f aca="false">TEXT(P78,"dddd")</f>
        <v>Wednesday</v>
      </c>
      <c r="Y78" s="18" t="n">
        <f aca="false">HOUR(Q78)</f>
        <v>9</v>
      </c>
    </row>
    <row r="79" customFormat="false" ht="15" hidden="false" customHeight="false" outlineLevel="0" collapsed="false">
      <c r="A79" s="18" t="s">
        <v>32</v>
      </c>
      <c r="B79" s="18" t="s">
        <v>182</v>
      </c>
      <c r="C79" s="18" t="s">
        <v>183</v>
      </c>
      <c r="D79" s="18" t="s">
        <v>48</v>
      </c>
      <c r="E79" s="18" t="s">
        <v>176</v>
      </c>
      <c r="F79" s="18" t="n">
        <v>2601</v>
      </c>
      <c r="G79" s="18" t="s">
        <v>125</v>
      </c>
      <c r="H79" s="18" t="s">
        <v>231</v>
      </c>
      <c r="I79" s="18" t="s">
        <v>23</v>
      </c>
      <c r="J79" s="18" t="s">
        <v>13</v>
      </c>
      <c r="K79" s="18" t="s">
        <v>232</v>
      </c>
      <c r="L79" s="18" t="s">
        <v>125</v>
      </c>
      <c r="M79" s="18" t="s">
        <v>125</v>
      </c>
      <c r="N79" s="18" t="s">
        <v>125</v>
      </c>
      <c r="O79" s="18"/>
      <c r="P79" s="19" t="n">
        <v>46050.5</v>
      </c>
      <c r="Q79" s="19" t="n">
        <v>46050.8333333333</v>
      </c>
      <c r="R79" s="19" t="n">
        <v>46051.2083333333</v>
      </c>
      <c r="S79" s="20" t="n">
        <f aca="false">ROUND((Q79-P79)*24,4)</f>
        <v>8</v>
      </c>
      <c r="T79" s="18" t="str">
        <f aca="false">TEXT(P79,"YYYY-MM")</f>
        <v>2026-01</v>
      </c>
      <c r="U79" s="18" t="n">
        <f aca="false">RANK(S79,$S$2:$S$670)+COUNTIF($S$2:S79,S79)-1</f>
        <v>173</v>
      </c>
      <c r="V79" s="20" t="n">
        <f aca="false">ROUND((R79-Q79)*24,4)</f>
        <v>9</v>
      </c>
      <c r="W79" s="20" t="n">
        <f aca="false">ROUND((R79-P79)*24,4)</f>
        <v>17</v>
      </c>
      <c r="X79" s="18" t="str">
        <f aca="false">TEXT(P79,"dddd")</f>
        <v>Wednesday</v>
      </c>
      <c r="Y79" s="18" t="n">
        <f aca="false">HOUR(Q79)</f>
        <v>20</v>
      </c>
    </row>
    <row r="80" customFormat="false" ht="15" hidden="false" customHeight="false" outlineLevel="0" collapsed="false">
      <c r="A80" s="18" t="s">
        <v>34</v>
      </c>
      <c r="B80" s="18" t="s">
        <v>171</v>
      </c>
      <c r="C80" s="18" t="s">
        <v>172</v>
      </c>
      <c r="D80" s="18" t="s">
        <v>47</v>
      </c>
      <c r="E80" s="18" t="s">
        <v>163</v>
      </c>
      <c r="F80" s="18" t="n">
        <v>2601</v>
      </c>
      <c r="G80" s="18" t="s">
        <v>127</v>
      </c>
      <c r="H80" s="18" t="s">
        <v>227</v>
      </c>
      <c r="I80" s="18" t="s">
        <v>20</v>
      </c>
      <c r="J80" s="18" t="s">
        <v>13</v>
      </c>
      <c r="K80" s="18" t="s">
        <v>12</v>
      </c>
      <c r="L80" s="18" t="s">
        <v>125</v>
      </c>
      <c r="M80" s="18" t="s">
        <v>125</v>
      </c>
      <c r="N80" s="18" t="s">
        <v>125</v>
      </c>
      <c r="O80" s="18"/>
      <c r="P80" s="19" t="n">
        <v>46050.7083333333</v>
      </c>
      <c r="Q80" s="19" t="n">
        <v>46050.75</v>
      </c>
      <c r="R80" s="19" t="n">
        <v>46051.1666666667</v>
      </c>
      <c r="S80" s="20" t="n">
        <f aca="false">ROUND((Q80-P80)*24,4)</f>
        <v>1</v>
      </c>
      <c r="T80" s="18" t="str">
        <f aca="false">TEXT(P80,"YYYY-MM")</f>
        <v>2026-01</v>
      </c>
      <c r="U80" s="18" t="n">
        <f aca="false">RANK(S80,$S$2:$S$670)+COUNTIF($S$2:S80,S80)-1</f>
        <v>396</v>
      </c>
      <c r="V80" s="20" t="n">
        <f aca="false">ROUND((R80-Q80)*24,4)</f>
        <v>10</v>
      </c>
      <c r="W80" s="20" t="n">
        <f aca="false">ROUND((R80-P80)*24,4)</f>
        <v>11</v>
      </c>
      <c r="X80" s="18" t="str">
        <f aca="false">TEXT(P80,"dddd")</f>
        <v>Wednesday</v>
      </c>
      <c r="Y80" s="18" t="n">
        <f aca="false">HOUR(Q80)</f>
        <v>18</v>
      </c>
    </row>
    <row r="81" customFormat="false" ht="15" hidden="false" customHeight="false" outlineLevel="0" collapsed="false">
      <c r="A81" s="18" t="s">
        <v>31</v>
      </c>
      <c r="B81" s="18" t="s">
        <v>218</v>
      </c>
      <c r="C81" s="18" t="s">
        <v>219</v>
      </c>
      <c r="D81" s="18" t="s">
        <v>54</v>
      </c>
      <c r="E81" s="18" t="s">
        <v>198</v>
      </c>
      <c r="F81" s="18" t="n">
        <v>1059</v>
      </c>
      <c r="G81" s="18" t="s">
        <v>127</v>
      </c>
      <c r="H81" s="18" t="s">
        <v>253</v>
      </c>
      <c r="I81" s="18" t="s">
        <v>24</v>
      </c>
      <c r="J81" s="18" t="s">
        <v>13</v>
      </c>
      <c r="K81" s="18" t="s">
        <v>13</v>
      </c>
      <c r="L81" s="18" t="s">
        <v>144</v>
      </c>
      <c r="M81" s="18" t="s">
        <v>125</v>
      </c>
      <c r="N81" s="18" t="s">
        <v>125</v>
      </c>
      <c r="O81" s="18" t="s">
        <v>221</v>
      </c>
      <c r="P81" s="19" t="n">
        <v>46050.7090277778</v>
      </c>
      <c r="Q81" s="19" t="n">
        <v>46050.7097222222</v>
      </c>
      <c r="R81" s="19" t="n">
        <v>46050.7104166667</v>
      </c>
      <c r="S81" s="20" t="n">
        <f aca="false">ROUND((Q81-P81)*24,4)</f>
        <v>0.0167</v>
      </c>
      <c r="T81" s="18" t="str">
        <f aca="false">TEXT(P81,"YYYY-MM")</f>
        <v>2026-01</v>
      </c>
      <c r="U81" s="18" t="n">
        <f aca="false">RANK(S81,$S$2:$S$670)+COUNTIF($S$2:S81,S81)-1</f>
        <v>629</v>
      </c>
      <c r="V81" s="20" t="n">
        <f aca="false">ROUND((R81-Q81)*24,4)</f>
        <v>0.0167</v>
      </c>
      <c r="W81" s="20" t="n">
        <f aca="false">ROUND((R81-P81)*24,4)</f>
        <v>0.0333</v>
      </c>
      <c r="X81" s="18" t="str">
        <f aca="false">TEXT(P81,"dddd")</f>
        <v>Wednesday</v>
      </c>
      <c r="Y81" s="18" t="n">
        <f aca="false">HOUR(Q81)</f>
        <v>17</v>
      </c>
    </row>
    <row r="82" customFormat="false" ht="15" hidden="false" customHeight="false" outlineLevel="0" collapsed="false">
      <c r="A82" s="18" t="s">
        <v>31</v>
      </c>
      <c r="B82" s="18" t="s">
        <v>218</v>
      </c>
      <c r="C82" s="18" t="s">
        <v>219</v>
      </c>
      <c r="D82" s="18" t="s">
        <v>54</v>
      </c>
      <c r="E82" s="18" t="s">
        <v>168</v>
      </c>
      <c r="F82" s="18" t="n">
        <v>1059</v>
      </c>
      <c r="G82" s="18" t="s">
        <v>125</v>
      </c>
      <c r="H82" s="18" t="s">
        <v>254</v>
      </c>
      <c r="I82" s="18" t="s">
        <v>18</v>
      </c>
      <c r="J82" s="18" t="s">
        <v>12</v>
      </c>
      <c r="K82" s="18" t="s">
        <v>13</v>
      </c>
      <c r="L82" s="18" t="s">
        <v>144</v>
      </c>
      <c r="M82" s="18" t="s">
        <v>125</v>
      </c>
      <c r="N82" s="18" t="s">
        <v>125</v>
      </c>
      <c r="O82" s="18" t="s">
        <v>221</v>
      </c>
      <c r="P82" s="19" t="n">
        <v>46050.7111111111</v>
      </c>
      <c r="Q82" s="19" t="n">
        <v>46050.7118055556</v>
      </c>
      <c r="R82" s="19" t="n">
        <v>46050.7125</v>
      </c>
      <c r="S82" s="20" t="n">
        <f aca="false">ROUND((Q82-P82)*24,4)</f>
        <v>0.0167</v>
      </c>
      <c r="T82" s="18" t="str">
        <f aca="false">TEXT(P82,"YYYY-MM")</f>
        <v>2026-01</v>
      </c>
      <c r="U82" s="18" t="n">
        <f aca="false">RANK(S82,$S$2:$S$670)+COUNTIF($S$2:S82,S82)-1</f>
        <v>630</v>
      </c>
      <c r="V82" s="20" t="n">
        <f aca="false">ROUND((R82-Q82)*24,4)</f>
        <v>0.0167</v>
      </c>
      <c r="W82" s="20" t="n">
        <f aca="false">ROUND((R82-P82)*24,4)</f>
        <v>0.0333</v>
      </c>
      <c r="X82" s="18" t="str">
        <f aca="false">TEXT(P82,"dddd")</f>
        <v>Wednesday</v>
      </c>
      <c r="Y82" s="18" t="n">
        <f aca="false">HOUR(Q82)</f>
        <v>17</v>
      </c>
    </row>
    <row r="83" customFormat="false" ht="15" hidden="false" customHeight="false" outlineLevel="0" collapsed="false">
      <c r="A83" s="18" t="s">
        <v>33</v>
      </c>
      <c r="B83" s="18" t="s">
        <v>174</v>
      </c>
      <c r="C83" s="18" t="s">
        <v>175</v>
      </c>
      <c r="D83" s="18" t="s">
        <v>49</v>
      </c>
      <c r="E83" s="18" t="s">
        <v>176</v>
      </c>
      <c r="F83" s="18" t="n">
        <v>2601</v>
      </c>
      <c r="G83" s="18" t="s">
        <v>125</v>
      </c>
      <c r="H83" s="18" t="s">
        <v>231</v>
      </c>
      <c r="I83" s="18" t="s">
        <v>18</v>
      </c>
      <c r="J83" s="18" t="s">
        <v>12</v>
      </c>
      <c r="K83" s="18" t="s">
        <v>13</v>
      </c>
      <c r="L83" s="18" t="s">
        <v>125</v>
      </c>
      <c r="M83" s="18" t="s">
        <v>125</v>
      </c>
      <c r="N83" s="18" t="s">
        <v>125</v>
      </c>
      <c r="O83" s="18"/>
      <c r="P83" s="19" t="n">
        <v>46050.7916666667</v>
      </c>
      <c r="Q83" s="19" t="n">
        <v>46051.1458333333</v>
      </c>
      <c r="R83" s="19" t="n">
        <v>46052.0833333333</v>
      </c>
      <c r="S83" s="20" t="n">
        <f aca="false">ROUND((Q83-P83)*24,4)</f>
        <v>8.5</v>
      </c>
      <c r="T83" s="18" t="str">
        <f aca="false">TEXT(P83,"YYYY-MM")</f>
        <v>2026-01</v>
      </c>
      <c r="U83" s="18" t="n">
        <f aca="false">RANK(S83,$S$2:$S$670)+COUNTIF($S$2:S83,S83)-1</f>
        <v>167</v>
      </c>
      <c r="V83" s="20" t="n">
        <f aca="false">ROUND((R83-Q83)*24,4)</f>
        <v>22.5</v>
      </c>
      <c r="W83" s="20" t="n">
        <f aca="false">ROUND((R83-P83)*24,4)</f>
        <v>31</v>
      </c>
      <c r="X83" s="18" t="str">
        <f aca="false">TEXT(P83,"dddd")</f>
        <v>Wednesday</v>
      </c>
      <c r="Y83" s="18" t="n">
        <f aca="false">HOUR(Q83)</f>
        <v>3</v>
      </c>
    </row>
    <row r="84" customFormat="false" ht="15" hidden="false" customHeight="false" outlineLevel="0" collapsed="false">
      <c r="A84" s="18" t="s">
        <v>34</v>
      </c>
      <c r="B84" s="18" t="s">
        <v>171</v>
      </c>
      <c r="C84" s="18" t="s">
        <v>172</v>
      </c>
      <c r="D84" s="18" t="s">
        <v>47</v>
      </c>
      <c r="E84" s="18" t="s">
        <v>176</v>
      </c>
      <c r="F84" s="18" t="n">
        <v>2601</v>
      </c>
      <c r="G84" s="18" t="s">
        <v>125</v>
      </c>
      <c r="H84" s="18" t="s">
        <v>231</v>
      </c>
      <c r="I84" s="18" t="s">
        <v>17</v>
      </c>
      <c r="J84" s="18" t="s">
        <v>12</v>
      </c>
      <c r="K84" s="18" t="s">
        <v>13</v>
      </c>
      <c r="L84" s="18" t="s">
        <v>125</v>
      </c>
      <c r="M84" s="18" t="s">
        <v>125</v>
      </c>
      <c r="N84" s="18" t="s">
        <v>125</v>
      </c>
      <c r="O84" s="18"/>
      <c r="P84" s="19" t="n">
        <v>46051.25</v>
      </c>
      <c r="Q84" s="19" t="n">
        <v>46051.375</v>
      </c>
      <c r="R84" s="19" t="n">
        <v>46052.4583333333</v>
      </c>
      <c r="S84" s="20" t="n">
        <f aca="false">ROUND((Q84-P84)*24,4)</f>
        <v>3</v>
      </c>
      <c r="T84" s="18" t="str">
        <f aca="false">TEXT(P84,"YYYY-MM")</f>
        <v>2026-01</v>
      </c>
      <c r="U84" s="18" t="n">
        <f aca="false">RANK(S84,$S$2:$S$670)+COUNTIF($S$2:S84,S84)-1</f>
        <v>275</v>
      </c>
      <c r="V84" s="20" t="n">
        <f aca="false">ROUND((R84-Q84)*24,4)</f>
        <v>26</v>
      </c>
      <c r="W84" s="20" t="n">
        <f aca="false">ROUND((R84-P84)*24,4)</f>
        <v>29</v>
      </c>
      <c r="X84" s="18" t="str">
        <f aca="false">TEXT(P84,"dddd")</f>
        <v>Thursday</v>
      </c>
      <c r="Y84" s="18" t="n">
        <f aca="false">HOUR(Q84)</f>
        <v>9</v>
      </c>
    </row>
    <row r="85" customFormat="false" ht="15" hidden="false" customHeight="false" outlineLevel="0" collapsed="false">
      <c r="A85" s="18" t="s">
        <v>32</v>
      </c>
      <c r="B85" s="18" t="s">
        <v>188</v>
      </c>
      <c r="C85" s="18" t="s">
        <v>189</v>
      </c>
      <c r="D85" s="18" t="s">
        <v>46</v>
      </c>
      <c r="E85" s="18" t="s">
        <v>168</v>
      </c>
      <c r="F85" s="18" t="n">
        <v>2601</v>
      </c>
      <c r="G85" s="18" t="s">
        <v>127</v>
      </c>
      <c r="H85" s="18" t="s">
        <v>227</v>
      </c>
      <c r="I85" s="18" t="s">
        <v>23</v>
      </c>
      <c r="J85" s="18" t="s">
        <v>13</v>
      </c>
      <c r="K85" s="18" t="s">
        <v>12</v>
      </c>
      <c r="L85" s="18" t="s">
        <v>125</v>
      </c>
      <c r="M85" s="18" t="s">
        <v>125</v>
      </c>
      <c r="N85" s="18" t="s">
        <v>125</v>
      </c>
      <c r="O85" s="18"/>
      <c r="P85" s="19" t="n">
        <v>46051.3347222222</v>
      </c>
      <c r="Q85" s="19" t="n">
        <v>46051.3541666667</v>
      </c>
      <c r="R85" s="19" t="n">
        <v>46051.6083333333</v>
      </c>
      <c r="S85" s="20" t="n">
        <f aca="false">ROUND((Q85-P85)*24,4)</f>
        <v>0.4667</v>
      </c>
      <c r="T85" s="18" t="str">
        <f aca="false">TEXT(P85,"YYYY-MM")</f>
        <v>2026-01</v>
      </c>
      <c r="U85" s="18" t="n">
        <f aca="false">RANK(S85,$S$2:$S$670)+COUNTIF($S$2:S85,S85)-1</f>
        <v>616</v>
      </c>
      <c r="V85" s="20" t="n">
        <f aca="false">ROUND((R85-Q85)*24,4)</f>
        <v>6.1</v>
      </c>
      <c r="W85" s="20" t="n">
        <f aca="false">ROUND((R85-P85)*24,4)</f>
        <v>6.5667</v>
      </c>
      <c r="X85" s="18" t="str">
        <f aca="false">TEXT(P85,"dddd")</f>
        <v>Thursday</v>
      </c>
      <c r="Y85" s="18" t="n">
        <f aca="false">HOUR(Q85)</f>
        <v>8</v>
      </c>
    </row>
    <row r="86" customFormat="false" ht="15" hidden="false" customHeight="false" outlineLevel="0" collapsed="false">
      <c r="A86" s="18" t="s">
        <v>35</v>
      </c>
      <c r="B86" s="18" t="s">
        <v>166</v>
      </c>
      <c r="C86" s="18" t="s">
        <v>167</v>
      </c>
      <c r="D86" s="18" t="s">
        <v>47</v>
      </c>
      <c r="E86" s="18" t="s">
        <v>163</v>
      </c>
      <c r="F86" s="18" t="n">
        <v>2601</v>
      </c>
      <c r="G86" s="18" t="s">
        <v>125</v>
      </c>
      <c r="H86" s="18" t="s">
        <v>231</v>
      </c>
      <c r="I86" s="18" t="s">
        <v>24</v>
      </c>
      <c r="J86" s="18" t="s">
        <v>13</v>
      </c>
      <c r="K86" s="18" t="s">
        <v>186</v>
      </c>
      <c r="L86" s="18" t="s">
        <v>125</v>
      </c>
      <c r="M86" s="18" t="s">
        <v>144</v>
      </c>
      <c r="N86" s="18" t="s">
        <v>125</v>
      </c>
      <c r="O86" s="18"/>
      <c r="P86" s="19" t="n">
        <v>46051.5416666667</v>
      </c>
      <c r="Q86" s="19" t="n">
        <v>46051.6875</v>
      </c>
      <c r="R86" s="19" t="n">
        <v>46052.3958333333</v>
      </c>
      <c r="S86" s="20" t="n">
        <f aca="false">ROUND((Q86-P86)*24,4)</f>
        <v>3.5</v>
      </c>
      <c r="T86" s="18" t="str">
        <f aca="false">TEXT(P86,"YYYY-MM")</f>
        <v>2026-01</v>
      </c>
      <c r="U86" s="18" t="n">
        <f aca="false">RANK(S86,$S$2:$S$670)+COUNTIF($S$2:S86,S86)-1</f>
        <v>261</v>
      </c>
      <c r="V86" s="20" t="n">
        <f aca="false">ROUND((R86-Q86)*24,4)</f>
        <v>17</v>
      </c>
      <c r="W86" s="20" t="n">
        <f aca="false">ROUND((R86-P86)*24,4)</f>
        <v>20.5</v>
      </c>
      <c r="X86" s="18" t="str">
        <f aca="false">TEXT(P86,"dddd")</f>
        <v>Thursday</v>
      </c>
      <c r="Y86" s="18" t="n">
        <f aca="false">HOUR(Q86)</f>
        <v>16</v>
      </c>
    </row>
    <row r="87" customFormat="false" ht="15" hidden="false" customHeight="false" outlineLevel="0" collapsed="false">
      <c r="A87" s="18" t="s">
        <v>32</v>
      </c>
      <c r="B87" s="18" t="s">
        <v>188</v>
      </c>
      <c r="C87" s="18" t="s">
        <v>189</v>
      </c>
      <c r="D87" s="18" t="s">
        <v>46</v>
      </c>
      <c r="E87" s="18" t="s">
        <v>163</v>
      </c>
      <c r="F87" s="18" t="n">
        <v>2601</v>
      </c>
      <c r="G87" s="18" t="s">
        <v>125</v>
      </c>
      <c r="H87" s="18" t="s">
        <v>231</v>
      </c>
      <c r="I87" s="18" t="s">
        <v>17</v>
      </c>
      <c r="J87" s="18" t="s">
        <v>12</v>
      </c>
      <c r="K87" s="18" t="s">
        <v>13</v>
      </c>
      <c r="L87" s="18" t="s">
        <v>125</v>
      </c>
      <c r="M87" s="18" t="s">
        <v>125</v>
      </c>
      <c r="N87" s="18" t="s">
        <v>125</v>
      </c>
      <c r="O87" s="18"/>
      <c r="P87" s="19" t="n">
        <v>46051.7083333333</v>
      </c>
      <c r="Q87" s="19" t="n">
        <v>46052.3125</v>
      </c>
      <c r="R87" s="19" t="n">
        <v>46054.0791666667</v>
      </c>
      <c r="S87" s="20" t="n">
        <f aca="false">ROUND((Q87-P87)*24,4)</f>
        <v>14.5</v>
      </c>
      <c r="T87" s="18" t="str">
        <f aca="false">TEXT(P87,"YYYY-MM")</f>
        <v>2026-01</v>
      </c>
      <c r="U87" s="18" t="n">
        <f aca="false">RANK(S87,$S$2:$S$670)+COUNTIF($S$2:S87,S87)-1</f>
        <v>86</v>
      </c>
      <c r="V87" s="20" t="n">
        <f aca="false">ROUND((R87-Q87)*24,4)</f>
        <v>42.4</v>
      </c>
      <c r="W87" s="20" t="n">
        <f aca="false">ROUND((R87-P87)*24,4)</f>
        <v>56.9</v>
      </c>
      <c r="X87" s="18" t="str">
        <f aca="false">TEXT(P87,"dddd")</f>
        <v>Thursday</v>
      </c>
      <c r="Y87" s="18" t="n">
        <f aca="false">HOUR(Q87)</f>
        <v>7</v>
      </c>
    </row>
    <row r="88" customFormat="false" ht="15" hidden="false" customHeight="false" outlineLevel="0" collapsed="false">
      <c r="A88" s="18" t="s">
        <v>33</v>
      </c>
      <c r="B88" s="18" t="s">
        <v>174</v>
      </c>
      <c r="C88" s="18" t="s">
        <v>175</v>
      </c>
      <c r="D88" s="18" t="s">
        <v>49</v>
      </c>
      <c r="E88" s="18" t="s">
        <v>185</v>
      </c>
      <c r="F88" s="18" t="n">
        <v>2601</v>
      </c>
      <c r="G88" s="18" t="s">
        <v>125</v>
      </c>
      <c r="H88" s="18" t="s">
        <v>231</v>
      </c>
      <c r="I88" s="18" t="s">
        <v>23</v>
      </c>
      <c r="J88" s="18" t="s">
        <v>13</v>
      </c>
      <c r="K88" s="18" t="s">
        <v>165</v>
      </c>
      <c r="L88" s="18" t="s">
        <v>125</v>
      </c>
      <c r="M88" s="18" t="s">
        <v>125</v>
      </c>
      <c r="N88" s="18" t="s">
        <v>125</v>
      </c>
      <c r="O88" s="18"/>
      <c r="P88" s="19" t="n">
        <v>46052.2916666667</v>
      </c>
      <c r="Q88" s="19" t="n">
        <v>46052.3333333333</v>
      </c>
      <c r="R88" s="19" t="n">
        <v>46052.6666666667</v>
      </c>
      <c r="S88" s="20" t="n">
        <f aca="false">ROUND((Q88-P88)*24,4)</f>
        <v>1</v>
      </c>
      <c r="T88" s="18" t="str">
        <f aca="false">TEXT(P88,"YYYY-MM")</f>
        <v>2026-01</v>
      </c>
      <c r="U88" s="18" t="n">
        <f aca="false">RANK(S88,$S$2:$S$670)+COUNTIF($S$2:S88,S88)-1</f>
        <v>397</v>
      </c>
      <c r="V88" s="20" t="n">
        <f aca="false">ROUND((R88-Q88)*24,4)</f>
        <v>8</v>
      </c>
      <c r="W88" s="20" t="n">
        <f aca="false">ROUND((R88-P88)*24,4)</f>
        <v>9</v>
      </c>
      <c r="X88" s="18" t="str">
        <f aca="false">TEXT(P88,"dddd")</f>
        <v>Friday</v>
      </c>
      <c r="Y88" s="18" t="n">
        <f aca="false">HOUR(Q88)</f>
        <v>8</v>
      </c>
    </row>
    <row r="89" customFormat="false" ht="15" hidden="false" customHeight="false" outlineLevel="0" collapsed="false">
      <c r="A89" s="18" t="s">
        <v>34</v>
      </c>
      <c r="B89" s="18" t="s">
        <v>171</v>
      </c>
      <c r="C89" s="18" t="s">
        <v>172</v>
      </c>
      <c r="D89" s="18" t="s">
        <v>47</v>
      </c>
      <c r="E89" s="18" t="s">
        <v>185</v>
      </c>
      <c r="F89" s="18" t="n">
        <v>2601</v>
      </c>
      <c r="G89" s="18" t="s">
        <v>125</v>
      </c>
      <c r="H89" s="18" t="s">
        <v>231</v>
      </c>
      <c r="I89" s="18" t="s">
        <v>20</v>
      </c>
      <c r="J89" s="18" t="s">
        <v>13</v>
      </c>
      <c r="K89" s="18" t="s">
        <v>165</v>
      </c>
      <c r="L89" s="18" t="s">
        <v>125</v>
      </c>
      <c r="M89" s="18" t="s">
        <v>125</v>
      </c>
      <c r="N89" s="18" t="s">
        <v>125</v>
      </c>
      <c r="O89" s="18"/>
      <c r="P89" s="19" t="n">
        <v>46052.5416666667</v>
      </c>
      <c r="Q89" s="19" t="n">
        <v>46052.8333333333</v>
      </c>
      <c r="R89" s="19" t="n">
        <v>46053.2083333333</v>
      </c>
      <c r="S89" s="20" t="n">
        <f aca="false">ROUND((Q89-P89)*24,4)</f>
        <v>7</v>
      </c>
      <c r="T89" s="18" t="str">
        <f aca="false">TEXT(P89,"YYYY-MM")</f>
        <v>2026-01</v>
      </c>
      <c r="U89" s="18" t="n">
        <f aca="false">RANK(S89,$S$2:$S$670)+COUNTIF($S$2:S89,S89)-1</f>
        <v>182</v>
      </c>
      <c r="V89" s="20" t="n">
        <f aca="false">ROUND((R89-Q89)*24,4)</f>
        <v>9</v>
      </c>
      <c r="W89" s="20" t="n">
        <f aca="false">ROUND((R89-P89)*24,4)</f>
        <v>16</v>
      </c>
      <c r="X89" s="18" t="str">
        <f aca="false">TEXT(P89,"dddd")</f>
        <v>Friday</v>
      </c>
      <c r="Y89" s="18" t="n">
        <f aca="false">HOUR(Q89)</f>
        <v>20</v>
      </c>
    </row>
    <row r="90" customFormat="false" ht="15" hidden="false" customHeight="false" outlineLevel="0" collapsed="false">
      <c r="A90" s="18" t="s">
        <v>31</v>
      </c>
      <c r="B90" s="18" t="s">
        <v>203</v>
      </c>
      <c r="C90" s="18" t="s">
        <v>204</v>
      </c>
      <c r="D90" s="18" t="s">
        <v>48</v>
      </c>
      <c r="E90" s="18" t="s">
        <v>198</v>
      </c>
      <c r="F90" s="18" t="n">
        <v>2601</v>
      </c>
      <c r="G90" s="18" t="s">
        <v>127</v>
      </c>
      <c r="H90" s="18" t="s">
        <v>227</v>
      </c>
      <c r="I90" s="18" t="s">
        <v>24</v>
      </c>
      <c r="J90" s="18" t="s">
        <v>13</v>
      </c>
      <c r="K90" s="18" t="s">
        <v>13</v>
      </c>
      <c r="L90" s="18" t="s">
        <v>144</v>
      </c>
      <c r="M90" s="18" t="s">
        <v>125</v>
      </c>
      <c r="N90" s="18" t="s">
        <v>125</v>
      </c>
      <c r="O90" s="18" t="s">
        <v>206</v>
      </c>
      <c r="P90" s="19" t="n">
        <v>46053.2923611111</v>
      </c>
      <c r="Q90" s="19" t="n">
        <v>46053.2930555556</v>
      </c>
      <c r="R90" s="19" t="n">
        <v>46053.29375</v>
      </c>
      <c r="S90" s="20" t="n">
        <f aca="false">ROUND((Q90-P90)*24,4)</f>
        <v>0.0167</v>
      </c>
      <c r="T90" s="18" t="str">
        <f aca="false">TEXT(P90,"YYYY-MM")</f>
        <v>2026-01</v>
      </c>
      <c r="U90" s="18" t="n">
        <f aca="false">RANK(S90,$S$2:$S$670)+COUNTIF($S$2:S90,S90)-1</f>
        <v>631</v>
      </c>
      <c r="V90" s="20" t="n">
        <f aca="false">ROUND((R90-Q90)*24,4)</f>
        <v>0.0167</v>
      </c>
      <c r="W90" s="20" t="n">
        <f aca="false">ROUND((R90-P90)*24,4)</f>
        <v>0.0333</v>
      </c>
      <c r="X90" s="18" t="str">
        <f aca="false">TEXT(P90,"dddd")</f>
        <v>Saturday</v>
      </c>
      <c r="Y90" s="18" t="n">
        <f aca="false">HOUR(Q90)</f>
        <v>7</v>
      </c>
    </row>
    <row r="91" customFormat="false" ht="15" hidden="false" customHeight="false" outlineLevel="0" collapsed="false">
      <c r="A91" s="18" t="s">
        <v>31</v>
      </c>
      <c r="B91" s="18" t="s">
        <v>203</v>
      </c>
      <c r="C91" s="18" t="s">
        <v>204</v>
      </c>
      <c r="D91" s="18" t="s">
        <v>48</v>
      </c>
      <c r="E91" s="18" t="s">
        <v>168</v>
      </c>
      <c r="F91" s="18" t="n">
        <v>2601</v>
      </c>
      <c r="G91" s="18" t="s">
        <v>125</v>
      </c>
      <c r="H91" s="18" t="s">
        <v>231</v>
      </c>
      <c r="I91" s="18" t="s">
        <v>18</v>
      </c>
      <c r="J91" s="18" t="s">
        <v>12</v>
      </c>
      <c r="K91" s="18" t="s">
        <v>13</v>
      </c>
      <c r="L91" s="18" t="s">
        <v>144</v>
      </c>
      <c r="M91" s="18" t="s">
        <v>125</v>
      </c>
      <c r="N91" s="18" t="s">
        <v>125</v>
      </c>
      <c r="O91" s="18" t="s">
        <v>206</v>
      </c>
      <c r="P91" s="19" t="n">
        <v>46053.2944444444</v>
      </c>
      <c r="Q91" s="19" t="n">
        <v>46053.2951388889</v>
      </c>
      <c r="R91" s="19" t="n">
        <v>46053.2958333333</v>
      </c>
      <c r="S91" s="20" t="n">
        <f aca="false">ROUND((Q91-P91)*24,4)</f>
        <v>0.0167</v>
      </c>
      <c r="T91" s="18" t="str">
        <f aca="false">TEXT(P91,"YYYY-MM")</f>
        <v>2026-01</v>
      </c>
      <c r="U91" s="18" t="n">
        <f aca="false">RANK(S91,$S$2:$S$670)+COUNTIF($S$2:S91,S91)-1</f>
        <v>632</v>
      </c>
      <c r="V91" s="20" t="n">
        <f aca="false">ROUND((R91-Q91)*24,4)</f>
        <v>0.0167</v>
      </c>
      <c r="W91" s="20" t="n">
        <f aca="false">ROUND((R91-P91)*24,4)</f>
        <v>0.0333</v>
      </c>
      <c r="X91" s="18" t="str">
        <f aca="false">TEXT(P91,"dddd")</f>
        <v>Saturday</v>
      </c>
      <c r="Y91" s="18" t="n">
        <f aca="false">HOUR(Q91)</f>
        <v>7</v>
      </c>
    </row>
    <row r="92" customFormat="false" ht="15" hidden="false" customHeight="false" outlineLevel="0" collapsed="false">
      <c r="A92" s="18" t="s">
        <v>38</v>
      </c>
      <c r="B92" s="18" t="s">
        <v>255</v>
      </c>
      <c r="C92" s="18" t="s">
        <v>256</v>
      </c>
      <c r="D92" s="18" t="s">
        <v>46</v>
      </c>
      <c r="E92" s="18" t="s">
        <v>163</v>
      </c>
      <c r="F92" s="18" t="n">
        <v>2601</v>
      </c>
      <c r="G92" s="18" t="s">
        <v>127</v>
      </c>
      <c r="H92" s="18" t="s">
        <v>227</v>
      </c>
      <c r="I92" s="18" t="s">
        <v>23</v>
      </c>
      <c r="J92" s="18" t="s">
        <v>13</v>
      </c>
      <c r="K92" s="18" t="s">
        <v>181</v>
      </c>
      <c r="L92" s="18" t="s">
        <v>125</v>
      </c>
      <c r="M92" s="18" t="s">
        <v>125</v>
      </c>
      <c r="N92" s="18" t="s">
        <v>125</v>
      </c>
      <c r="O92" s="18"/>
      <c r="P92" s="19" t="n">
        <v>46053.3125</v>
      </c>
      <c r="Q92" s="19" t="n">
        <v>46053.7625</v>
      </c>
      <c r="R92" s="19" t="n">
        <v>46054.6083333333</v>
      </c>
      <c r="S92" s="20" t="n">
        <f aca="false">ROUND((Q92-P92)*24,4)</f>
        <v>10.8</v>
      </c>
      <c r="T92" s="18" t="str">
        <f aca="false">TEXT(P92,"YYYY-MM")</f>
        <v>2026-01</v>
      </c>
      <c r="U92" s="18" t="n">
        <f aca="false">RANK(S92,$S$2:$S$670)+COUNTIF($S$2:S92,S92)-1</f>
        <v>133</v>
      </c>
      <c r="V92" s="20" t="n">
        <f aca="false">ROUND((R92-Q92)*24,4)</f>
        <v>20.3</v>
      </c>
      <c r="W92" s="20" t="n">
        <f aca="false">ROUND((R92-P92)*24,4)</f>
        <v>31.1</v>
      </c>
      <c r="X92" s="18" t="str">
        <f aca="false">TEXT(P92,"dddd")</f>
        <v>Saturday</v>
      </c>
      <c r="Y92" s="18" t="n">
        <f aca="false">HOUR(Q92)</f>
        <v>18</v>
      </c>
    </row>
    <row r="93" customFormat="false" ht="15" hidden="false" customHeight="false" outlineLevel="0" collapsed="false">
      <c r="A93" s="18" t="s">
        <v>32</v>
      </c>
      <c r="B93" s="18" t="s">
        <v>188</v>
      </c>
      <c r="C93" s="18" t="s">
        <v>189</v>
      </c>
      <c r="D93" s="18" t="s">
        <v>46</v>
      </c>
      <c r="E93" s="18" t="s">
        <v>176</v>
      </c>
      <c r="F93" s="18" t="n">
        <v>2601</v>
      </c>
      <c r="G93" s="18" t="s">
        <v>125</v>
      </c>
      <c r="H93" s="18" t="s">
        <v>231</v>
      </c>
      <c r="I93" s="18" t="s">
        <v>23</v>
      </c>
      <c r="J93" s="18" t="s">
        <v>13</v>
      </c>
      <c r="K93" s="18" t="s">
        <v>186</v>
      </c>
      <c r="L93" s="18" t="s">
        <v>125</v>
      </c>
      <c r="M93" s="18" t="s">
        <v>125</v>
      </c>
      <c r="N93" s="18" t="s">
        <v>125</v>
      </c>
      <c r="O93" s="18"/>
      <c r="P93" s="19" t="n">
        <v>46054.3194444445</v>
      </c>
      <c r="Q93" s="19" t="n">
        <v>46054.3375</v>
      </c>
      <c r="R93" s="19" t="n">
        <v>46054.7958333333</v>
      </c>
      <c r="S93" s="20" t="n">
        <f aca="false">ROUND((Q93-P93)*24,4)</f>
        <v>0.4333</v>
      </c>
      <c r="T93" s="18" t="str">
        <f aca="false">TEXT(P93,"YYYY-MM")</f>
        <v>2026-02</v>
      </c>
      <c r="U93" s="18" t="n">
        <f aca="false">RANK(S93,$S$2:$S$670)+COUNTIF($S$2:S93,S93)-1</f>
        <v>618</v>
      </c>
      <c r="V93" s="20" t="n">
        <f aca="false">ROUND((R93-Q93)*24,4)</f>
        <v>11</v>
      </c>
      <c r="W93" s="20" t="n">
        <f aca="false">ROUND((R93-P93)*24,4)</f>
        <v>11.4333</v>
      </c>
      <c r="X93" s="18" t="str">
        <f aca="false">TEXT(P93,"dddd")</f>
        <v>Sunday</v>
      </c>
      <c r="Y93" s="18" t="n">
        <f aca="false">HOUR(Q93)</f>
        <v>8</v>
      </c>
    </row>
    <row r="94" customFormat="false" ht="15" hidden="false" customHeight="false" outlineLevel="0" collapsed="false">
      <c r="A94" s="18" t="s">
        <v>33</v>
      </c>
      <c r="B94" s="18" t="s">
        <v>194</v>
      </c>
      <c r="C94" s="18" t="s">
        <v>195</v>
      </c>
      <c r="D94" s="18" t="s">
        <v>46</v>
      </c>
      <c r="E94" s="18" t="s">
        <v>163</v>
      </c>
      <c r="F94" s="18" t="n">
        <v>2601</v>
      </c>
      <c r="G94" s="18" t="s">
        <v>127</v>
      </c>
      <c r="H94" s="18" t="s">
        <v>227</v>
      </c>
      <c r="I94" s="18" t="s">
        <v>23</v>
      </c>
      <c r="J94" s="18" t="s">
        <v>13</v>
      </c>
      <c r="K94" s="18" t="s">
        <v>12</v>
      </c>
      <c r="L94" s="18" t="s">
        <v>125</v>
      </c>
      <c r="M94" s="18" t="s">
        <v>125</v>
      </c>
      <c r="N94" s="18" t="s">
        <v>144</v>
      </c>
      <c r="O94" s="18"/>
      <c r="P94" s="19" t="n">
        <v>46055.6666666667</v>
      </c>
      <c r="Q94" s="19" t="n">
        <v>46055.7083333333</v>
      </c>
      <c r="R94" s="19" t="n">
        <v>46056.0416666667</v>
      </c>
      <c r="S94" s="20" t="n">
        <f aca="false">ROUND((Q94-P94)*24,4)</f>
        <v>1</v>
      </c>
      <c r="T94" s="18" t="str">
        <f aca="false">TEXT(P94,"YYYY-MM")</f>
        <v>2026-02</v>
      </c>
      <c r="U94" s="18" t="n">
        <f aca="false">RANK(S94,$S$2:$S$670)+COUNTIF($S$2:S94,S94)-1</f>
        <v>398</v>
      </c>
      <c r="V94" s="20" t="n">
        <f aca="false">ROUND((R94-Q94)*24,4)</f>
        <v>8</v>
      </c>
      <c r="W94" s="20" t="n">
        <f aca="false">ROUND((R94-P94)*24,4)</f>
        <v>9</v>
      </c>
      <c r="X94" s="18" t="str">
        <f aca="false">TEXT(P94,"dddd")</f>
        <v>Monday</v>
      </c>
      <c r="Y94" s="18" t="n">
        <f aca="false">HOUR(Q94)</f>
        <v>17</v>
      </c>
    </row>
    <row r="95" customFormat="false" ht="15" hidden="false" customHeight="false" outlineLevel="0" collapsed="false">
      <c r="A95" s="18" t="s">
        <v>33</v>
      </c>
      <c r="B95" s="18" t="s">
        <v>194</v>
      </c>
      <c r="C95" s="18" t="s">
        <v>195</v>
      </c>
      <c r="D95" s="18" t="s">
        <v>46</v>
      </c>
      <c r="E95" s="18" t="s">
        <v>176</v>
      </c>
      <c r="F95" s="18" t="n">
        <v>2601</v>
      </c>
      <c r="G95" s="18" t="s">
        <v>125</v>
      </c>
      <c r="H95" s="18" t="s">
        <v>231</v>
      </c>
      <c r="I95" s="18" t="s">
        <v>18</v>
      </c>
      <c r="J95" s="18" t="s">
        <v>12</v>
      </c>
      <c r="K95" s="18" t="s">
        <v>13</v>
      </c>
      <c r="L95" s="18" t="s">
        <v>125</v>
      </c>
      <c r="M95" s="18" t="s">
        <v>125</v>
      </c>
      <c r="N95" s="18" t="s">
        <v>125</v>
      </c>
      <c r="O95" s="18"/>
      <c r="P95" s="19" t="n">
        <v>46056.25</v>
      </c>
      <c r="Q95" s="19" t="n">
        <v>46056.3333333333</v>
      </c>
      <c r="R95" s="19" t="n">
        <v>46057.2083333333</v>
      </c>
      <c r="S95" s="20" t="n">
        <f aca="false">ROUND((Q95-P95)*24,4)</f>
        <v>2</v>
      </c>
      <c r="T95" s="18" t="str">
        <f aca="false">TEXT(P95,"YYYY-MM")</f>
        <v>2026-02</v>
      </c>
      <c r="U95" s="18" t="n">
        <f aca="false">RANK(S95,$S$2:$S$670)+COUNTIF($S$2:S95,S95)-1</f>
        <v>321</v>
      </c>
      <c r="V95" s="20" t="n">
        <f aca="false">ROUND((R95-Q95)*24,4)</f>
        <v>21</v>
      </c>
      <c r="W95" s="20" t="n">
        <f aca="false">ROUND((R95-P95)*24,4)</f>
        <v>23</v>
      </c>
      <c r="X95" s="18" t="str">
        <f aca="false">TEXT(P95,"dddd")</f>
        <v>Tuesday</v>
      </c>
      <c r="Y95" s="18" t="n">
        <f aca="false">HOUR(Q95)</f>
        <v>8</v>
      </c>
    </row>
    <row r="96" customFormat="false" ht="15" hidden="false" customHeight="false" outlineLevel="0" collapsed="false">
      <c r="A96" s="18" t="s">
        <v>33</v>
      </c>
      <c r="B96" s="18" t="s">
        <v>194</v>
      </c>
      <c r="C96" s="18" t="s">
        <v>195</v>
      </c>
      <c r="D96" s="18" t="s">
        <v>46</v>
      </c>
      <c r="E96" s="18" t="s">
        <v>185</v>
      </c>
      <c r="F96" s="18" t="n">
        <v>2601</v>
      </c>
      <c r="G96" s="18" t="s">
        <v>125</v>
      </c>
      <c r="H96" s="18" t="s">
        <v>231</v>
      </c>
      <c r="I96" s="18" t="s">
        <v>23</v>
      </c>
      <c r="J96" s="18" t="s">
        <v>13</v>
      </c>
      <c r="K96" s="18" t="s">
        <v>165</v>
      </c>
      <c r="L96" s="18" t="s">
        <v>125</v>
      </c>
      <c r="M96" s="18" t="s">
        <v>144</v>
      </c>
      <c r="N96" s="18" t="s">
        <v>125</v>
      </c>
      <c r="O96" s="18"/>
      <c r="P96" s="19" t="n">
        <v>46057.375</v>
      </c>
      <c r="Q96" s="19" t="n">
        <v>46057.4583333333</v>
      </c>
      <c r="R96" s="19" t="n">
        <v>46057.8125</v>
      </c>
      <c r="S96" s="20" t="n">
        <f aca="false">ROUND((Q96-P96)*24,4)</f>
        <v>2</v>
      </c>
      <c r="T96" s="18" t="str">
        <f aca="false">TEXT(P96,"YYYY-MM")</f>
        <v>2026-02</v>
      </c>
      <c r="U96" s="18" t="n">
        <f aca="false">RANK(S96,$S$2:$S$670)+COUNTIF($S$2:S96,S96)-1</f>
        <v>322</v>
      </c>
      <c r="V96" s="20" t="n">
        <f aca="false">ROUND((R96-Q96)*24,4)</f>
        <v>8.5</v>
      </c>
      <c r="W96" s="20" t="n">
        <f aca="false">ROUND((R96-P96)*24,4)</f>
        <v>10.5</v>
      </c>
      <c r="X96" s="18" t="str">
        <f aca="false">TEXT(P96,"dddd")</f>
        <v>Wednesday</v>
      </c>
      <c r="Y96" s="18" t="n">
        <f aca="false">HOUR(Q96)</f>
        <v>11</v>
      </c>
    </row>
    <row r="97" customFormat="false" ht="15" hidden="false" customHeight="false" outlineLevel="0" collapsed="false">
      <c r="A97" s="18" t="s">
        <v>39</v>
      </c>
      <c r="B97" s="18" t="s">
        <v>257</v>
      </c>
      <c r="C97" s="18" t="s">
        <v>258</v>
      </c>
      <c r="D97" s="18" t="s">
        <v>46</v>
      </c>
      <c r="E97" s="18" t="s">
        <v>176</v>
      </c>
      <c r="F97" s="18" t="n">
        <v>2601</v>
      </c>
      <c r="G97" s="18" t="s">
        <v>125</v>
      </c>
      <c r="H97" s="18" t="s">
        <v>231</v>
      </c>
      <c r="I97" s="18" t="s">
        <v>21</v>
      </c>
      <c r="J97" s="18" t="s">
        <v>13</v>
      </c>
      <c r="K97" s="18" t="s">
        <v>216</v>
      </c>
      <c r="L97" s="18" t="s">
        <v>125</v>
      </c>
      <c r="M97" s="18" t="s">
        <v>125</v>
      </c>
      <c r="N97" s="18" t="s">
        <v>125</v>
      </c>
      <c r="O97" s="18"/>
      <c r="P97" s="19" t="n">
        <v>46058.5</v>
      </c>
      <c r="Q97" s="19" t="n">
        <v>46059.5416666667</v>
      </c>
      <c r="R97" s="19" t="n">
        <v>46060.3333333333</v>
      </c>
      <c r="S97" s="20" t="n">
        <f aca="false">ROUND((Q97-P97)*24,4)</f>
        <v>25</v>
      </c>
      <c r="T97" s="18" t="str">
        <f aca="false">TEXT(P97,"YYYY-MM")</f>
        <v>2026-02</v>
      </c>
      <c r="U97" s="18" t="n">
        <f aca="false">RANK(S97,$S$2:$S$670)+COUNTIF($S$2:S97,S97)-1</f>
        <v>31</v>
      </c>
      <c r="V97" s="20" t="n">
        <f aca="false">ROUND((R97-Q97)*24,4)</f>
        <v>19</v>
      </c>
      <c r="W97" s="20" t="n">
        <f aca="false">ROUND((R97-P97)*24,4)</f>
        <v>44</v>
      </c>
      <c r="X97" s="18" t="str">
        <f aca="false">TEXT(P97,"dddd")</f>
        <v>Thursday</v>
      </c>
      <c r="Y97" s="18" t="n">
        <f aca="false">HOUR(Q97)</f>
        <v>13</v>
      </c>
    </row>
    <row r="98" customFormat="false" ht="15" hidden="false" customHeight="false" outlineLevel="0" collapsed="false">
      <c r="A98" s="18" t="s">
        <v>31</v>
      </c>
      <c r="B98" s="18" t="s">
        <v>218</v>
      </c>
      <c r="C98" s="18" t="s">
        <v>219</v>
      </c>
      <c r="D98" s="18" t="s">
        <v>54</v>
      </c>
      <c r="E98" s="18" t="s">
        <v>163</v>
      </c>
      <c r="F98" s="18" t="n">
        <v>1059</v>
      </c>
      <c r="G98" s="18" t="s">
        <v>125</v>
      </c>
      <c r="H98" s="18" t="s">
        <v>254</v>
      </c>
      <c r="I98" s="18" t="s">
        <v>24</v>
      </c>
      <c r="J98" s="18" t="s">
        <v>13</v>
      </c>
      <c r="K98" s="18" t="s">
        <v>165</v>
      </c>
      <c r="L98" s="18" t="s">
        <v>125</v>
      </c>
      <c r="M98" s="18" t="s">
        <v>125</v>
      </c>
      <c r="N98" s="18" t="s">
        <v>125</v>
      </c>
      <c r="O98" s="18" t="s">
        <v>221</v>
      </c>
      <c r="P98" s="19" t="n">
        <v>46058.9583333333</v>
      </c>
      <c r="Q98" s="19" t="n">
        <v>46059</v>
      </c>
      <c r="R98" s="19" t="n">
        <v>46059.9583333333</v>
      </c>
      <c r="S98" s="20" t="n">
        <f aca="false">ROUND((Q98-P98)*24,4)</f>
        <v>1</v>
      </c>
      <c r="T98" s="18" t="str">
        <f aca="false">TEXT(P98,"YYYY-MM")</f>
        <v>2026-02</v>
      </c>
      <c r="U98" s="18" t="n">
        <f aca="false">RANK(S98,$S$2:$S$670)+COUNTIF($S$2:S98,S98)-1</f>
        <v>399</v>
      </c>
      <c r="V98" s="20" t="n">
        <f aca="false">ROUND((R98-Q98)*24,4)</f>
        <v>23</v>
      </c>
      <c r="W98" s="20" t="n">
        <f aca="false">ROUND((R98-P98)*24,4)</f>
        <v>24</v>
      </c>
      <c r="X98" s="18" t="str">
        <f aca="false">TEXT(P98,"dddd")</f>
        <v>Thursday</v>
      </c>
      <c r="Y98" s="18" t="n">
        <f aca="false">HOUR(Q98)</f>
        <v>0</v>
      </c>
    </row>
    <row r="99" customFormat="false" ht="15" hidden="false" customHeight="false" outlineLevel="0" collapsed="false">
      <c r="A99" s="18" t="s">
        <v>35</v>
      </c>
      <c r="B99" s="18" t="s">
        <v>196</v>
      </c>
      <c r="C99" s="18" t="s">
        <v>197</v>
      </c>
      <c r="D99" s="18" t="s">
        <v>46</v>
      </c>
      <c r="E99" s="18" t="s">
        <v>198</v>
      </c>
      <c r="F99" s="18" t="n">
        <v>2601</v>
      </c>
      <c r="G99" s="18" t="s">
        <v>127</v>
      </c>
      <c r="H99" s="18" t="s">
        <v>227</v>
      </c>
      <c r="I99" s="18" t="s">
        <v>28</v>
      </c>
      <c r="J99" s="18" t="s">
        <v>13</v>
      </c>
      <c r="K99" s="18" t="s">
        <v>12</v>
      </c>
      <c r="L99" s="18" t="s">
        <v>125</v>
      </c>
      <c r="M99" s="18" t="s">
        <v>125</v>
      </c>
      <c r="N99" s="18" t="s">
        <v>144</v>
      </c>
      <c r="O99" s="18"/>
      <c r="P99" s="19" t="n">
        <v>46059.75</v>
      </c>
      <c r="Q99" s="19" t="n">
        <v>46059.7916666667</v>
      </c>
      <c r="R99" s="19" t="n">
        <v>46060</v>
      </c>
      <c r="S99" s="20" t="n">
        <f aca="false">ROUND((Q99-P99)*24,4)</f>
        <v>1</v>
      </c>
      <c r="T99" s="18" t="str">
        <f aca="false">TEXT(P99,"YYYY-MM")</f>
        <v>2026-02</v>
      </c>
      <c r="U99" s="18" t="n">
        <f aca="false">RANK(S99,$S$2:$S$670)+COUNTIF($S$2:S99,S99)-1</f>
        <v>400</v>
      </c>
      <c r="V99" s="20" t="n">
        <f aca="false">ROUND((R99-Q99)*24,4)</f>
        <v>5</v>
      </c>
      <c r="W99" s="20" t="n">
        <f aca="false">ROUND((R99-P99)*24,4)</f>
        <v>6</v>
      </c>
      <c r="X99" s="18" t="str">
        <f aca="false">TEXT(P99,"dddd")</f>
        <v>Friday</v>
      </c>
      <c r="Y99" s="18" t="n">
        <f aca="false">HOUR(Q99)</f>
        <v>19</v>
      </c>
    </row>
    <row r="100" customFormat="false" ht="15" hidden="false" customHeight="false" outlineLevel="0" collapsed="false">
      <c r="A100" s="18" t="s">
        <v>36</v>
      </c>
      <c r="B100" s="18" t="s">
        <v>199</v>
      </c>
      <c r="C100" s="18" t="s">
        <v>200</v>
      </c>
      <c r="D100" s="18" t="s">
        <v>46</v>
      </c>
      <c r="E100" s="18" t="s">
        <v>168</v>
      </c>
      <c r="F100" s="18" t="n">
        <v>2601</v>
      </c>
      <c r="G100" s="18" t="s">
        <v>127</v>
      </c>
      <c r="H100" s="18" t="s">
        <v>227</v>
      </c>
      <c r="I100" s="18" t="s">
        <v>23</v>
      </c>
      <c r="J100" s="18" t="s">
        <v>13</v>
      </c>
      <c r="K100" s="18" t="s">
        <v>12</v>
      </c>
      <c r="L100" s="18" t="s">
        <v>125</v>
      </c>
      <c r="M100" s="18" t="s">
        <v>125</v>
      </c>
      <c r="N100" s="18" t="s">
        <v>125</v>
      </c>
      <c r="O100" s="18"/>
      <c r="P100" s="19" t="n">
        <v>46059.8333333333</v>
      </c>
      <c r="Q100" s="19" t="n">
        <v>46059.8541666667</v>
      </c>
      <c r="R100" s="19" t="n">
        <v>46060.2638888889</v>
      </c>
      <c r="S100" s="20" t="n">
        <f aca="false">ROUND((Q100-P100)*24,4)</f>
        <v>0.5</v>
      </c>
      <c r="T100" s="18" t="str">
        <f aca="false">TEXT(P100,"YYYY-MM")</f>
        <v>2026-02</v>
      </c>
      <c r="U100" s="18" t="n">
        <f aca="false">RANK(S100,$S$2:$S$670)+COUNTIF($S$2:S100,S100)-1</f>
        <v>605</v>
      </c>
      <c r="V100" s="20" t="n">
        <f aca="false">ROUND((R100-Q100)*24,4)</f>
        <v>9.8333</v>
      </c>
      <c r="W100" s="20" t="n">
        <f aca="false">ROUND((R100-P100)*24,4)</f>
        <v>10.3333</v>
      </c>
      <c r="X100" s="18" t="str">
        <f aca="false">TEXT(P100,"dddd")</f>
        <v>Friday</v>
      </c>
      <c r="Y100" s="18" t="n">
        <f aca="false">HOUR(Q100)</f>
        <v>20</v>
      </c>
    </row>
    <row r="101" customFormat="false" ht="15" hidden="false" customHeight="false" outlineLevel="0" collapsed="false">
      <c r="A101" s="18" t="s">
        <v>38</v>
      </c>
      <c r="B101" s="18" t="s">
        <v>178</v>
      </c>
      <c r="C101" s="18" t="s">
        <v>179</v>
      </c>
      <c r="D101" s="18" t="s">
        <v>49</v>
      </c>
      <c r="E101" s="18" t="s">
        <v>163</v>
      </c>
      <c r="F101" s="18" t="n">
        <v>2601</v>
      </c>
      <c r="G101" s="18" t="s">
        <v>127</v>
      </c>
      <c r="H101" s="18" t="s">
        <v>227</v>
      </c>
      <c r="I101" s="18" t="s">
        <v>23</v>
      </c>
      <c r="J101" s="18" t="s">
        <v>13</v>
      </c>
      <c r="K101" s="18" t="s">
        <v>181</v>
      </c>
      <c r="L101" s="18" t="s">
        <v>125</v>
      </c>
      <c r="M101" s="18" t="s">
        <v>125</v>
      </c>
      <c r="N101" s="18" t="s">
        <v>125</v>
      </c>
      <c r="O101" s="18"/>
      <c r="P101" s="19" t="n">
        <v>46060.1666666667</v>
      </c>
      <c r="Q101" s="19" t="n">
        <v>46061.2083333333</v>
      </c>
      <c r="R101" s="19" t="n">
        <v>46062.125</v>
      </c>
      <c r="S101" s="20" t="n">
        <f aca="false">ROUND((Q101-P101)*24,4)</f>
        <v>25</v>
      </c>
      <c r="T101" s="18" t="str">
        <f aca="false">TEXT(P101,"YYYY-MM")</f>
        <v>2026-02</v>
      </c>
      <c r="U101" s="18" t="n">
        <f aca="false">RANK(S101,$S$2:$S$670)+COUNTIF($S$2:S101,S101)-1</f>
        <v>32</v>
      </c>
      <c r="V101" s="20" t="n">
        <f aca="false">ROUND((R101-Q101)*24,4)</f>
        <v>22</v>
      </c>
      <c r="W101" s="20" t="n">
        <f aca="false">ROUND((R101-P101)*24,4)</f>
        <v>47</v>
      </c>
      <c r="X101" s="18" t="str">
        <f aca="false">TEXT(P101,"dddd")</f>
        <v>Saturday</v>
      </c>
      <c r="Y101" s="18" t="n">
        <f aca="false">HOUR(Q101)</f>
        <v>5</v>
      </c>
    </row>
    <row r="102" customFormat="false" ht="15" hidden="false" customHeight="false" outlineLevel="0" collapsed="false">
      <c r="A102" s="18" t="s">
        <v>36</v>
      </c>
      <c r="B102" s="18" t="s">
        <v>196</v>
      </c>
      <c r="C102" s="18" t="s">
        <v>197</v>
      </c>
      <c r="D102" s="18" t="s">
        <v>46</v>
      </c>
      <c r="E102" s="18" t="s">
        <v>163</v>
      </c>
      <c r="F102" s="18" t="n">
        <v>2601</v>
      </c>
      <c r="G102" s="18" t="s">
        <v>125</v>
      </c>
      <c r="H102" s="18" t="s">
        <v>231</v>
      </c>
      <c r="I102" s="18" t="s">
        <v>17</v>
      </c>
      <c r="J102" s="18" t="s">
        <v>12</v>
      </c>
      <c r="K102" s="18" t="s">
        <v>13</v>
      </c>
      <c r="L102" s="18" t="s">
        <v>125</v>
      </c>
      <c r="M102" s="18" t="s">
        <v>125</v>
      </c>
      <c r="N102" s="18" t="s">
        <v>125</v>
      </c>
      <c r="O102" s="18"/>
      <c r="P102" s="19" t="n">
        <v>46060.2083333333</v>
      </c>
      <c r="Q102" s="19" t="n">
        <v>46060.4166666667</v>
      </c>
      <c r="R102" s="19" t="n">
        <v>46062.2083333333</v>
      </c>
      <c r="S102" s="20" t="n">
        <f aca="false">ROUND((Q102-P102)*24,4)</f>
        <v>5</v>
      </c>
      <c r="T102" s="18" t="str">
        <f aca="false">TEXT(P102,"YYYY-MM")</f>
        <v>2026-02</v>
      </c>
      <c r="U102" s="18" t="n">
        <f aca="false">RANK(S102,$S$2:$S$670)+COUNTIF($S$2:S102,S102)-1</f>
        <v>225</v>
      </c>
      <c r="V102" s="20" t="n">
        <f aca="false">ROUND((R102-Q102)*24,4)</f>
        <v>43</v>
      </c>
      <c r="W102" s="20" t="n">
        <f aca="false">ROUND((R102-P102)*24,4)</f>
        <v>48</v>
      </c>
      <c r="X102" s="18" t="str">
        <f aca="false">TEXT(P102,"dddd")</f>
        <v>Saturday</v>
      </c>
      <c r="Y102" s="18" t="n">
        <f aca="false">HOUR(Q102)</f>
        <v>10</v>
      </c>
    </row>
    <row r="103" customFormat="false" ht="15" hidden="false" customHeight="false" outlineLevel="0" collapsed="false">
      <c r="A103" s="18" t="s">
        <v>35</v>
      </c>
      <c r="B103" s="18" t="s">
        <v>196</v>
      </c>
      <c r="C103" s="18" t="s">
        <v>197</v>
      </c>
      <c r="D103" s="18" t="s">
        <v>46</v>
      </c>
      <c r="E103" s="18" t="s">
        <v>168</v>
      </c>
      <c r="F103" s="18" t="n">
        <v>2601</v>
      </c>
      <c r="G103" s="18" t="s">
        <v>127</v>
      </c>
      <c r="H103" s="18" t="s">
        <v>227</v>
      </c>
      <c r="I103" s="18" t="s">
        <v>19</v>
      </c>
      <c r="J103" s="18" t="s">
        <v>12</v>
      </c>
      <c r="K103" s="18" t="s">
        <v>232</v>
      </c>
      <c r="L103" s="18" t="s">
        <v>125</v>
      </c>
      <c r="M103" s="18" t="s">
        <v>125</v>
      </c>
      <c r="N103" s="18" t="s">
        <v>144</v>
      </c>
      <c r="O103" s="18"/>
      <c r="P103" s="19" t="n">
        <v>46060.2916666667</v>
      </c>
      <c r="Q103" s="19" t="n">
        <v>46060.4166666667</v>
      </c>
      <c r="R103" s="19" t="n">
        <v>46062.2083333333</v>
      </c>
      <c r="S103" s="20" t="n">
        <f aca="false">ROUND((Q103-P103)*24,4)</f>
        <v>3</v>
      </c>
      <c r="T103" s="18" t="str">
        <f aca="false">TEXT(P103,"YYYY-MM")</f>
        <v>2026-02</v>
      </c>
      <c r="U103" s="18" t="n">
        <f aca="false">RANK(S103,$S$2:$S$670)+COUNTIF($S$2:S103,S103)-1</f>
        <v>276</v>
      </c>
      <c r="V103" s="20" t="n">
        <f aca="false">ROUND((R103-Q103)*24,4)</f>
        <v>43</v>
      </c>
      <c r="W103" s="20" t="n">
        <f aca="false">ROUND((R103-P103)*24,4)</f>
        <v>46</v>
      </c>
      <c r="X103" s="18" t="str">
        <f aca="false">TEXT(P103,"dddd")</f>
        <v>Saturday</v>
      </c>
      <c r="Y103" s="18" t="n">
        <f aca="false">HOUR(Q103)</f>
        <v>10</v>
      </c>
    </row>
    <row r="104" customFormat="false" ht="15" hidden="false" customHeight="false" outlineLevel="0" collapsed="false">
      <c r="A104" s="18" t="s">
        <v>35</v>
      </c>
      <c r="B104" s="18" t="s">
        <v>199</v>
      </c>
      <c r="C104" s="18" t="s">
        <v>200</v>
      </c>
      <c r="D104" s="18" t="s">
        <v>46</v>
      </c>
      <c r="E104" s="18" t="s">
        <v>168</v>
      </c>
      <c r="F104" s="18" t="n">
        <v>2601</v>
      </c>
      <c r="G104" s="18" t="s">
        <v>125</v>
      </c>
      <c r="H104" s="18" t="s">
        <v>231</v>
      </c>
      <c r="I104" s="18" t="s">
        <v>19</v>
      </c>
      <c r="J104" s="18" t="s">
        <v>12</v>
      </c>
      <c r="K104" s="18" t="s">
        <v>13</v>
      </c>
      <c r="L104" s="18" t="s">
        <v>125</v>
      </c>
      <c r="M104" s="18" t="s">
        <v>144</v>
      </c>
      <c r="N104" s="18" t="s">
        <v>125</v>
      </c>
      <c r="O104" s="18"/>
      <c r="P104" s="19" t="n">
        <v>46060.3333333333</v>
      </c>
      <c r="Q104" s="19" t="n">
        <v>46060.4583333333</v>
      </c>
      <c r="R104" s="19" t="n">
        <v>46062.2083333333</v>
      </c>
      <c r="S104" s="20" t="n">
        <f aca="false">ROUND((Q104-P104)*24,4)</f>
        <v>3</v>
      </c>
      <c r="T104" s="18" t="str">
        <f aca="false">TEXT(P104,"YYYY-MM")</f>
        <v>2026-02</v>
      </c>
      <c r="U104" s="18" t="n">
        <f aca="false">RANK(S104,$S$2:$S$670)+COUNTIF($S$2:S104,S104)-1</f>
        <v>277</v>
      </c>
      <c r="V104" s="20" t="n">
        <f aca="false">ROUND((R104-Q104)*24,4)</f>
        <v>42</v>
      </c>
      <c r="W104" s="20" t="n">
        <f aca="false">ROUND((R104-P104)*24,4)</f>
        <v>45</v>
      </c>
      <c r="X104" s="18" t="str">
        <f aca="false">TEXT(P104,"dddd")</f>
        <v>Saturday</v>
      </c>
      <c r="Y104" s="18" t="n">
        <f aca="false">HOUR(Q104)</f>
        <v>11</v>
      </c>
    </row>
    <row r="105" customFormat="false" ht="15" hidden="false" customHeight="false" outlineLevel="0" collapsed="false">
      <c r="A105" s="18" t="s">
        <v>36</v>
      </c>
      <c r="B105" s="18" t="s">
        <v>199</v>
      </c>
      <c r="C105" s="18" t="s">
        <v>200</v>
      </c>
      <c r="D105" s="18" t="s">
        <v>46</v>
      </c>
      <c r="E105" s="18" t="s">
        <v>163</v>
      </c>
      <c r="F105" s="18" t="n">
        <v>2601</v>
      </c>
      <c r="G105" s="18" t="s">
        <v>127</v>
      </c>
      <c r="H105" s="18" t="s">
        <v>227</v>
      </c>
      <c r="I105" s="18" t="s">
        <v>17</v>
      </c>
      <c r="J105" s="18" t="s">
        <v>12</v>
      </c>
      <c r="K105" s="18" t="s">
        <v>12</v>
      </c>
      <c r="L105" s="18" t="s">
        <v>125</v>
      </c>
      <c r="M105" s="18" t="s">
        <v>125</v>
      </c>
      <c r="N105" s="18" t="s">
        <v>125</v>
      </c>
      <c r="O105" s="18"/>
      <c r="P105" s="19" t="n">
        <v>46060.3472222222</v>
      </c>
      <c r="Q105" s="19" t="n">
        <v>46060.4583333333</v>
      </c>
      <c r="R105" s="19" t="n">
        <v>46062.2083333333</v>
      </c>
      <c r="S105" s="20" t="n">
        <f aca="false">ROUND((Q105-P105)*24,4)</f>
        <v>2.6667</v>
      </c>
      <c r="T105" s="18" t="str">
        <f aca="false">TEXT(P105,"YYYY-MM")</f>
        <v>2026-02</v>
      </c>
      <c r="U105" s="18" t="n">
        <f aca="false">RANK(S105,$S$2:$S$670)+COUNTIF($S$2:S105,S105)-1</f>
        <v>302</v>
      </c>
      <c r="V105" s="20" t="n">
        <f aca="false">ROUND((R105-Q105)*24,4)</f>
        <v>42</v>
      </c>
      <c r="W105" s="20" t="n">
        <f aca="false">ROUND((R105-P105)*24,4)</f>
        <v>44.6667</v>
      </c>
      <c r="X105" s="18" t="str">
        <f aca="false">TEXT(P105,"dddd")</f>
        <v>Saturday</v>
      </c>
      <c r="Y105" s="18" t="n">
        <f aca="false">HOUR(Q105)</f>
        <v>11</v>
      </c>
    </row>
    <row r="106" customFormat="false" ht="15" hidden="false" customHeight="false" outlineLevel="0" collapsed="false">
      <c r="A106" s="18" t="s">
        <v>31</v>
      </c>
      <c r="B106" s="18" t="s">
        <v>203</v>
      </c>
      <c r="C106" s="18" t="s">
        <v>204</v>
      </c>
      <c r="D106" s="18" t="s">
        <v>48</v>
      </c>
      <c r="E106" s="18" t="s">
        <v>163</v>
      </c>
      <c r="F106" s="18" t="n">
        <v>2601</v>
      </c>
      <c r="G106" s="18" t="s">
        <v>125</v>
      </c>
      <c r="H106" s="18" t="s">
        <v>231</v>
      </c>
      <c r="I106" s="18" t="s">
        <v>24</v>
      </c>
      <c r="J106" s="18" t="s">
        <v>13</v>
      </c>
      <c r="K106" s="18" t="s">
        <v>165</v>
      </c>
      <c r="L106" s="18" t="s">
        <v>125</v>
      </c>
      <c r="M106" s="18" t="s">
        <v>125</v>
      </c>
      <c r="N106" s="18" t="s">
        <v>125</v>
      </c>
      <c r="O106" s="18" t="s">
        <v>206</v>
      </c>
      <c r="P106" s="19" t="n">
        <v>46060.625</v>
      </c>
      <c r="Q106" s="19" t="n">
        <v>46060.6666666667</v>
      </c>
      <c r="R106" s="19" t="n">
        <v>46061.3125</v>
      </c>
      <c r="S106" s="20" t="n">
        <f aca="false">ROUND((Q106-P106)*24,4)</f>
        <v>1</v>
      </c>
      <c r="T106" s="18" t="str">
        <f aca="false">TEXT(P106,"YYYY-MM")</f>
        <v>2026-02</v>
      </c>
      <c r="U106" s="18" t="n">
        <f aca="false">RANK(S106,$S$2:$S$670)+COUNTIF($S$2:S106,S106)-1</f>
        <v>401</v>
      </c>
      <c r="V106" s="20" t="n">
        <f aca="false">ROUND((R106-Q106)*24,4)</f>
        <v>15.5</v>
      </c>
      <c r="W106" s="20" t="n">
        <f aca="false">ROUND((R106-P106)*24,4)</f>
        <v>16.5</v>
      </c>
      <c r="X106" s="18" t="str">
        <f aca="false">TEXT(P106,"dddd")</f>
        <v>Saturday</v>
      </c>
      <c r="Y106" s="18" t="n">
        <f aca="false">HOUR(Q106)</f>
        <v>16</v>
      </c>
    </row>
    <row r="107" customFormat="false" ht="15" hidden="false" customHeight="false" outlineLevel="0" collapsed="false">
      <c r="A107" s="18" t="s">
        <v>32</v>
      </c>
      <c r="B107" s="18" t="s">
        <v>223</v>
      </c>
      <c r="C107" s="18" t="s">
        <v>224</v>
      </c>
      <c r="D107" s="18" t="s">
        <v>47</v>
      </c>
      <c r="E107" s="18" t="s">
        <v>168</v>
      </c>
      <c r="F107" s="18" t="n">
        <v>2601</v>
      </c>
      <c r="G107" s="18" t="s">
        <v>127</v>
      </c>
      <c r="H107" s="18" t="s">
        <v>227</v>
      </c>
      <c r="I107" s="18" t="s">
        <v>23</v>
      </c>
      <c r="J107" s="18" t="s">
        <v>13</v>
      </c>
      <c r="K107" s="18" t="s">
        <v>12</v>
      </c>
      <c r="L107" s="18" t="s">
        <v>125</v>
      </c>
      <c r="M107" s="18" t="s">
        <v>125</v>
      </c>
      <c r="N107" s="18" t="s">
        <v>125</v>
      </c>
      <c r="O107" s="18"/>
      <c r="P107" s="19" t="n">
        <v>46061.75</v>
      </c>
      <c r="Q107" s="19" t="n">
        <v>46061.7916666667</v>
      </c>
      <c r="R107" s="19" t="n">
        <v>46062.0833333333</v>
      </c>
      <c r="S107" s="20" t="n">
        <f aca="false">ROUND((Q107-P107)*24,4)</f>
        <v>1</v>
      </c>
      <c r="T107" s="18" t="str">
        <f aca="false">TEXT(P107,"YYYY-MM")</f>
        <v>2026-02</v>
      </c>
      <c r="U107" s="18" t="n">
        <f aca="false">RANK(S107,$S$2:$S$670)+COUNTIF($S$2:S107,S107)-1</f>
        <v>402</v>
      </c>
      <c r="V107" s="20" t="n">
        <f aca="false">ROUND((R107-Q107)*24,4)</f>
        <v>7</v>
      </c>
      <c r="W107" s="20" t="n">
        <f aca="false">ROUND((R107-P107)*24,4)</f>
        <v>8</v>
      </c>
      <c r="X107" s="18" t="str">
        <f aca="false">TEXT(P107,"dddd")</f>
        <v>Sunday</v>
      </c>
      <c r="Y107" s="18" t="n">
        <f aca="false">HOUR(Q107)</f>
        <v>19</v>
      </c>
    </row>
    <row r="108" customFormat="false" ht="15" hidden="false" customHeight="false" outlineLevel="0" collapsed="false">
      <c r="A108" s="18" t="s">
        <v>36</v>
      </c>
      <c r="B108" s="18" t="s">
        <v>225</v>
      </c>
      <c r="C108" s="18" t="s">
        <v>226</v>
      </c>
      <c r="D108" s="18" t="s">
        <v>47</v>
      </c>
      <c r="E108" s="18" t="s">
        <v>168</v>
      </c>
      <c r="F108" s="18" t="n">
        <v>2602</v>
      </c>
      <c r="G108" s="18" t="s">
        <v>127</v>
      </c>
      <c r="H108" s="18" t="s">
        <v>259</v>
      </c>
      <c r="I108" s="18" t="s">
        <v>23</v>
      </c>
      <c r="J108" s="18" t="s">
        <v>13</v>
      </c>
      <c r="K108" s="18" t="s">
        <v>12</v>
      </c>
      <c r="L108" s="18" t="s">
        <v>125</v>
      </c>
      <c r="M108" s="18" t="s">
        <v>125</v>
      </c>
      <c r="N108" s="18" t="s">
        <v>125</v>
      </c>
      <c r="O108" s="18"/>
      <c r="P108" s="19" t="n">
        <v>46061.9166666667</v>
      </c>
      <c r="Q108" s="19" t="n">
        <v>46061.9583333333</v>
      </c>
      <c r="R108" s="19" t="n">
        <v>46062.2083333333</v>
      </c>
      <c r="S108" s="20" t="n">
        <f aca="false">ROUND((Q108-P108)*24,4)</f>
        <v>1</v>
      </c>
      <c r="T108" s="18" t="str">
        <f aca="false">TEXT(P108,"YYYY-MM")</f>
        <v>2026-02</v>
      </c>
      <c r="U108" s="18" t="n">
        <f aca="false">RANK(S108,$S$2:$S$670)+COUNTIF($S$2:S108,S108)-1</f>
        <v>403</v>
      </c>
      <c r="V108" s="20" t="n">
        <f aca="false">ROUND((R108-Q108)*24,4)</f>
        <v>6</v>
      </c>
      <c r="W108" s="20" t="n">
        <f aca="false">ROUND((R108-P108)*24,4)</f>
        <v>7</v>
      </c>
      <c r="X108" s="18" t="str">
        <f aca="false">TEXT(P108,"dddd")</f>
        <v>Sunday</v>
      </c>
      <c r="Y108" s="18" t="n">
        <f aca="false">HOUR(Q108)</f>
        <v>23</v>
      </c>
    </row>
    <row r="109" customFormat="false" ht="15" hidden="false" customHeight="false" outlineLevel="0" collapsed="false">
      <c r="A109" s="18" t="s">
        <v>32</v>
      </c>
      <c r="B109" s="18" t="s">
        <v>223</v>
      </c>
      <c r="C109" s="18" t="s">
        <v>224</v>
      </c>
      <c r="D109" s="18" t="s">
        <v>47</v>
      </c>
      <c r="E109" s="18" t="s">
        <v>163</v>
      </c>
      <c r="F109" s="18" t="n">
        <v>2601</v>
      </c>
      <c r="G109" s="18" t="s">
        <v>125</v>
      </c>
      <c r="H109" s="18" t="s">
        <v>231</v>
      </c>
      <c r="I109" s="18" t="s">
        <v>17</v>
      </c>
      <c r="J109" s="18" t="s">
        <v>12</v>
      </c>
      <c r="K109" s="18" t="s">
        <v>13</v>
      </c>
      <c r="L109" s="18" t="s">
        <v>125</v>
      </c>
      <c r="M109" s="18" t="s">
        <v>125</v>
      </c>
      <c r="N109" s="18" t="s">
        <v>125</v>
      </c>
      <c r="O109" s="18"/>
      <c r="P109" s="19" t="n">
        <v>46062.25</v>
      </c>
      <c r="Q109" s="19" t="n">
        <v>46063.9930555556</v>
      </c>
      <c r="R109" s="19" t="n">
        <v>46065.2916666667</v>
      </c>
      <c r="S109" s="20" t="n">
        <f aca="false">ROUND((Q109-P109)*24,4)</f>
        <v>41.8333</v>
      </c>
      <c r="T109" s="18" t="str">
        <f aca="false">TEXT(P109,"YYYY-MM")</f>
        <v>2026-02</v>
      </c>
      <c r="U109" s="18" t="n">
        <f aca="false">RANK(S109,$S$2:$S$670)+COUNTIF($S$2:S109,S109)-1</f>
        <v>11</v>
      </c>
      <c r="V109" s="20" t="n">
        <f aca="false">ROUND((R109-Q109)*24,4)</f>
        <v>31.1667</v>
      </c>
      <c r="W109" s="20" t="n">
        <f aca="false">ROUND((R109-P109)*24,4)</f>
        <v>73</v>
      </c>
      <c r="X109" s="18" t="str">
        <f aca="false">TEXT(P109,"dddd")</f>
        <v>Monday</v>
      </c>
      <c r="Y109" s="18" t="n">
        <f aca="false">HOUR(Q109)</f>
        <v>23</v>
      </c>
    </row>
    <row r="110" customFormat="false" ht="15" hidden="false" customHeight="false" outlineLevel="0" collapsed="false">
      <c r="A110" s="18" t="s">
        <v>36</v>
      </c>
      <c r="B110" s="18" t="s">
        <v>225</v>
      </c>
      <c r="C110" s="18" t="s">
        <v>226</v>
      </c>
      <c r="D110" s="18" t="s">
        <v>47</v>
      </c>
      <c r="E110" s="18" t="s">
        <v>163</v>
      </c>
      <c r="F110" s="18" t="n">
        <v>2602</v>
      </c>
      <c r="G110" s="18" t="s">
        <v>125</v>
      </c>
      <c r="H110" s="18" t="s">
        <v>260</v>
      </c>
      <c r="I110" s="18" t="s">
        <v>17</v>
      </c>
      <c r="J110" s="18" t="s">
        <v>12</v>
      </c>
      <c r="K110" s="18" t="s">
        <v>13</v>
      </c>
      <c r="L110" s="18" t="s">
        <v>125</v>
      </c>
      <c r="M110" s="18" t="s">
        <v>125</v>
      </c>
      <c r="N110" s="18" t="s">
        <v>125</v>
      </c>
      <c r="O110" s="18"/>
      <c r="P110" s="19" t="n">
        <v>46062.2916666667</v>
      </c>
      <c r="Q110" s="19" t="n">
        <v>46064.3333333333</v>
      </c>
      <c r="R110" s="19" t="n">
        <v>46065.1666666667</v>
      </c>
      <c r="S110" s="20" t="n">
        <f aca="false">ROUND((Q110-P110)*24,4)</f>
        <v>49</v>
      </c>
      <c r="T110" s="18" t="str">
        <f aca="false">TEXT(P110,"YYYY-MM")</f>
        <v>2026-02</v>
      </c>
      <c r="U110" s="18" t="n">
        <f aca="false">RANK(S110,$S$2:$S$670)+COUNTIF($S$2:S110,S110)-1</f>
        <v>6</v>
      </c>
      <c r="V110" s="20" t="n">
        <f aca="false">ROUND((R110-Q110)*24,4)</f>
        <v>20</v>
      </c>
      <c r="W110" s="20" t="n">
        <f aca="false">ROUND((R110-P110)*24,4)</f>
        <v>69</v>
      </c>
      <c r="X110" s="18" t="str">
        <f aca="false">TEXT(P110,"dddd")</f>
        <v>Monday</v>
      </c>
      <c r="Y110" s="18" t="n">
        <f aca="false">HOUR(Q110)</f>
        <v>8</v>
      </c>
    </row>
    <row r="111" customFormat="false" ht="15" hidden="false" customHeight="false" outlineLevel="0" collapsed="false">
      <c r="A111" s="18" t="s">
        <v>34</v>
      </c>
      <c r="B111" s="18" t="s">
        <v>233</v>
      </c>
      <c r="C111" s="18" t="s">
        <v>234</v>
      </c>
      <c r="D111" s="18" t="s">
        <v>46</v>
      </c>
      <c r="E111" s="18" t="s">
        <v>163</v>
      </c>
      <c r="F111" s="18" t="n">
        <v>2601</v>
      </c>
      <c r="G111" s="18" t="s">
        <v>127</v>
      </c>
      <c r="H111" s="18" t="s">
        <v>227</v>
      </c>
      <c r="I111" s="18" t="s">
        <v>20</v>
      </c>
      <c r="J111" s="18" t="s">
        <v>13</v>
      </c>
      <c r="K111" s="18" t="s">
        <v>12</v>
      </c>
      <c r="L111" s="18" t="s">
        <v>125</v>
      </c>
      <c r="M111" s="18" t="s">
        <v>125</v>
      </c>
      <c r="N111" s="18" t="s">
        <v>125</v>
      </c>
      <c r="O111" s="18"/>
      <c r="P111" s="19" t="n">
        <v>46062.375</v>
      </c>
      <c r="Q111" s="19" t="n">
        <v>46062.4166666667</v>
      </c>
      <c r="R111" s="19" t="n">
        <v>46062.8333333333</v>
      </c>
      <c r="S111" s="20" t="n">
        <f aca="false">ROUND((Q111-P111)*24,4)</f>
        <v>1</v>
      </c>
      <c r="T111" s="18" t="str">
        <f aca="false">TEXT(P111,"YYYY-MM")</f>
        <v>2026-02</v>
      </c>
      <c r="U111" s="18" t="n">
        <f aca="false">RANK(S111,$S$2:$S$670)+COUNTIF($S$2:S111,S111)-1</f>
        <v>404</v>
      </c>
      <c r="V111" s="20" t="n">
        <f aca="false">ROUND((R111-Q111)*24,4)</f>
        <v>10</v>
      </c>
      <c r="W111" s="20" t="n">
        <f aca="false">ROUND((R111-P111)*24,4)</f>
        <v>11</v>
      </c>
      <c r="X111" s="18" t="str">
        <f aca="false">TEXT(P111,"dddd")</f>
        <v>Monday</v>
      </c>
      <c r="Y111" s="18" t="n">
        <f aca="false">HOUR(Q111)</f>
        <v>10</v>
      </c>
    </row>
    <row r="112" customFormat="false" ht="15" hidden="false" customHeight="false" outlineLevel="0" collapsed="false">
      <c r="A112" s="18" t="s">
        <v>36</v>
      </c>
      <c r="B112" s="18" t="s">
        <v>196</v>
      </c>
      <c r="C112" s="18" t="s">
        <v>197</v>
      </c>
      <c r="D112" s="18" t="s">
        <v>46</v>
      </c>
      <c r="E112" s="18" t="s">
        <v>176</v>
      </c>
      <c r="F112" s="18" t="n">
        <v>2601</v>
      </c>
      <c r="G112" s="18" t="s">
        <v>125</v>
      </c>
      <c r="H112" s="18" t="s">
        <v>231</v>
      </c>
      <c r="I112" s="18" t="s">
        <v>23</v>
      </c>
      <c r="J112" s="18" t="s">
        <v>13</v>
      </c>
      <c r="K112" s="18" t="s">
        <v>186</v>
      </c>
      <c r="L112" s="18" t="s">
        <v>125</v>
      </c>
      <c r="M112" s="18" t="s">
        <v>125</v>
      </c>
      <c r="N112" s="18" t="s">
        <v>125</v>
      </c>
      <c r="O112" s="18"/>
      <c r="P112" s="19" t="n">
        <v>46062.4166666667</v>
      </c>
      <c r="Q112" s="19" t="n">
        <v>46062.875</v>
      </c>
      <c r="R112" s="19" t="n">
        <v>46063.2583333333</v>
      </c>
      <c r="S112" s="20" t="n">
        <f aca="false">ROUND((Q112-P112)*24,4)</f>
        <v>11</v>
      </c>
      <c r="T112" s="18" t="str">
        <f aca="false">TEXT(P112,"YYYY-MM")</f>
        <v>2026-02</v>
      </c>
      <c r="U112" s="18" t="n">
        <f aca="false">RANK(S112,$S$2:$S$670)+COUNTIF($S$2:S112,S112)-1</f>
        <v>124</v>
      </c>
      <c r="V112" s="20" t="n">
        <f aca="false">ROUND((R112-Q112)*24,4)</f>
        <v>9.2</v>
      </c>
      <c r="W112" s="20" t="n">
        <f aca="false">ROUND((R112-P112)*24,4)</f>
        <v>20.2</v>
      </c>
      <c r="X112" s="18" t="str">
        <f aca="false">TEXT(P112,"dddd")</f>
        <v>Monday</v>
      </c>
      <c r="Y112" s="18" t="n">
        <f aca="false">HOUR(Q112)</f>
        <v>21</v>
      </c>
    </row>
    <row r="113" customFormat="false" ht="15" hidden="false" customHeight="false" outlineLevel="0" collapsed="false">
      <c r="A113" s="18" t="s">
        <v>35</v>
      </c>
      <c r="B113" s="18" t="s">
        <v>199</v>
      </c>
      <c r="C113" s="18" t="s">
        <v>200</v>
      </c>
      <c r="D113" s="18" t="s">
        <v>46</v>
      </c>
      <c r="E113" s="18" t="s">
        <v>163</v>
      </c>
      <c r="F113" s="18" t="n">
        <v>2601</v>
      </c>
      <c r="G113" s="18" t="s">
        <v>125</v>
      </c>
      <c r="H113" s="18" t="s">
        <v>231</v>
      </c>
      <c r="I113" s="18" t="s">
        <v>24</v>
      </c>
      <c r="J113" s="18" t="s">
        <v>13</v>
      </c>
      <c r="K113" s="18" t="s">
        <v>186</v>
      </c>
      <c r="L113" s="18" t="s">
        <v>125</v>
      </c>
      <c r="M113" s="18" t="s">
        <v>144</v>
      </c>
      <c r="N113" s="18" t="s">
        <v>125</v>
      </c>
      <c r="O113" s="18"/>
      <c r="P113" s="19" t="n">
        <v>46062.4166666667</v>
      </c>
      <c r="Q113" s="19" t="n">
        <v>46062.5833333333</v>
      </c>
      <c r="R113" s="19" t="n">
        <v>46063.25</v>
      </c>
      <c r="S113" s="20" t="n">
        <f aca="false">ROUND((Q113-P113)*24,4)</f>
        <v>4</v>
      </c>
      <c r="T113" s="18" t="str">
        <f aca="false">TEXT(P113,"YYYY-MM")</f>
        <v>2026-02</v>
      </c>
      <c r="U113" s="18" t="n">
        <f aca="false">RANK(S113,$S$2:$S$670)+COUNTIF($S$2:S113,S113)-1</f>
        <v>247</v>
      </c>
      <c r="V113" s="20" t="n">
        <f aca="false">ROUND((R113-Q113)*24,4)</f>
        <v>16</v>
      </c>
      <c r="W113" s="20" t="n">
        <f aca="false">ROUND((R113-P113)*24,4)</f>
        <v>20</v>
      </c>
      <c r="X113" s="18" t="str">
        <f aca="false">TEXT(P113,"dddd")</f>
        <v>Monday</v>
      </c>
      <c r="Y113" s="18" t="n">
        <f aca="false">HOUR(Q113)</f>
        <v>14</v>
      </c>
    </row>
    <row r="114" customFormat="false" ht="15" hidden="false" customHeight="false" outlineLevel="0" collapsed="false">
      <c r="A114" s="18" t="s">
        <v>37</v>
      </c>
      <c r="B114" s="18" t="s">
        <v>208</v>
      </c>
      <c r="C114" s="18" t="s">
        <v>209</v>
      </c>
      <c r="D114" s="18" t="s">
        <v>46</v>
      </c>
      <c r="E114" s="18" t="s">
        <v>163</v>
      </c>
      <c r="F114" s="18" t="n">
        <v>2601</v>
      </c>
      <c r="G114" s="18" t="s">
        <v>127</v>
      </c>
      <c r="H114" s="18" t="s">
        <v>227</v>
      </c>
      <c r="I114" s="18" t="s">
        <v>20</v>
      </c>
      <c r="J114" s="18" t="s">
        <v>13</v>
      </c>
      <c r="K114" s="18" t="s">
        <v>12</v>
      </c>
      <c r="L114" s="18" t="s">
        <v>125</v>
      </c>
      <c r="M114" s="18" t="s">
        <v>125</v>
      </c>
      <c r="N114" s="18" t="s">
        <v>125</v>
      </c>
      <c r="O114" s="18"/>
      <c r="P114" s="19" t="n">
        <v>46062.875</v>
      </c>
      <c r="Q114" s="19" t="n">
        <v>46062.9375</v>
      </c>
      <c r="R114" s="19" t="n">
        <v>46063.4166666667</v>
      </c>
      <c r="S114" s="20" t="n">
        <f aca="false">ROUND((Q114-P114)*24,4)</f>
        <v>1.5</v>
      </c>
      <c r="T114" s="18" t="str">
        <f aca="false">TEXT(P114,"YYYY-MM")</f>
        <v>2026-02</v>
      </c>
      <c r="U114" s="18" t="n">
        <f aca="false">RANK(S114,$S$2:$S$670)+COUNTIF($S$2:S114,S114)-1</f>
        <v>356</v>
      </c>
      <c r="V114" s="20" t="n">
        <f aca="false">ROUND((R114-Q114)*24,4)</f>
        <v>11.5</v>
      </c>
      <c r="W114" s="20" t="n">
        <f aca="false">ROUND((R114-P114)*24,4)</f>
        <v>13</v>
      </c>
      <c r="X114" s="18" t="str">
        <f aca="false">TEXT(P114,"dddd")</f>
        <v>Monday</v>
      </c>
      <c r="Y114" s="18" t="n">
        <f aca="false">HOUR(Q114)</f>
        <v>22</v>
      </c>
    </row>
    <row r="115" customFormat="false" ht="15" hidden="false" customHeight="false" outlineLevel="0" collapsed="false">
      <c r="A115" s="18" t="s">
        <v>34</v>
      </c>
      <c r="B115" s="18" t="s">
        <v>233</v>
      </c>
      <c r="C115" s="18" t="s">
        <v>234</v>
      </c>
      <c r="D115" s="18" t="s">
        <v>46</v>
      </c>
      <c r="E115" s="18" t="s">
        <v>176</v>
      </c>
      <c r="F115" s="18" t="n">
        <v>2601</v>
      </c>
      <c r="G115" s="18" t="s">
        <v>125</v>
      </c>
      <c r="H115" s="18" t="s">
        <v>231</v>
      </c>
      <c r="I115" s="18" t="s">
        <v>17</v>
      </c>
      <c r="J115" s="18" t="s">
        <v>12</v>
      </c>
      <c r="K115" s="18" t="s">
        <v>13</v>
      </c>
      <c r="L115" s="18" t="s">
        <v>125</v>
      </c>
      <c r="M115" s="18" t="s">
        <v>125</v>
      </c>
      <c r="N115" s="18" t="s">
        <v>125</v>
      </c>
      <c r="O115" s="18"/>
      <c r="P115" s="19" t="n">
        <v>46062.9166666667</v>
      </c>
      <c r="Q115" s="19" t="n">
        <v>46065.3333333333</v>
      </c>
      <c r="R115" s="19" t="n">
        <v>46066.3875</v>
      </c>
      <c r="S115" s="20" t="n">
        <f aca="false">ROUND((Q115-P115)*24,4)</f>
        <v>58</v>
      </c>
      <c r="T115" s="18" t="str">
        <f aca="false">TEXT(P115,"YYYY-MM")</f>
        <v>2026-02</v>
      </c>
      <c r="U115" s="18" t="n">
        <f aca="false">RANK(S115,$S$2:$S$670)+COUNTIF($S$2:S115,S115)-1</f>
        <v>3</v>
      </c>
      <c r="V115" s="20" t="n">
        <f aca="false">ROUND((R115-Q115)*24,4)</f>
        <v>25.3</v>
      </c>
      <c r="W115" s="20" t="n">
        <f aca="false">ROUND((R115-P115)*24,4)</f>
        <v>83.3</v>
      </c>
      <c r="X115" s="18" t="str">
        <f aca="false">TEXT(P115,"dddd")</f>
        <v>Monday</v>
      </c>
      <c r="Y115" s="18" t="n">
        <f aca="false">HOUR(Q115)</f>
        <v>8</v>
      </c>
    </row>
    <row r="116" customFormat="false" ht="15" hidden="false" customHeight="false" outlineLevel="0" collapsed="false">
      <c r="A116" s="18" t="s">
        <v>37</v>
      </c>
      <c r="B116" s="18" t="s">
        <v>208</v>
      </c>
      <c r="C116" s="18" t="s">
        <v>209</v>
      </c>
      <c r="D116" s="18" t="s">
        <v>46</v>
      </c>
      <c r="E116" s="18" t="s">
        <v>176</v>
      </c>
      <c r="F116" s="18" t="n">
        <v>2601</v>
      </c>
      <c r="G116" s="18" t="s">
        <v>125</v>
      </c>
      <c r="H116" s="18" t="s">
        <v>231</v>
      </c>
      <c r="I116" s="18" t="s">
        <v>19</v>
      </c>
      <c r="J116" s="18" t="s">
        <v>12</v>
      </c>
      <c r="K116" s="18" t="s">
        <v>13</v>
      </c>
      <c r="L116" s="18" t="s">
        <v>125</v>
      </c>
      <c r="M116" s="18" t="s">
        <v>125</v>
      </c>
      <c r="N116" s="18" t="s">
        <v>125</v>
      </c>
      <c r="O116" s="18"/>
      <c r="P116" s="19" t="n">
        <v>46063.5</v>
      </c>
      <c r="Q116" s="19" t="n">
        <v>46065.375</v>
      </c>
      <c r="R116" s="19" t="n">
        <v>46066.2916666667</v>
      </c>
      <c r="S116" s="20" t="n">
        <f aca="false">ROUND((Q116-P116)*24,4)</f>
        <v>45</v>
      </c>
      <c r="T116" s="18" t="str">
        <f aca="false">TEXT(P116,"YYYY-MM")</f>
        <v>2026-02</v>
      </c>
      <c r="U116" s="18" t="n">
        <f aca="false">RANK(S116,$S$2:$S$670)+COUNTIF($S$2:S116,S116)-1</f>
        <v>10</v>
      </c>
      <c r="V116" s="20" t="n">
        <f aca="false">ROUND((R116-Q116)*24,4)</f>
        <v>22</v>
      </c>
      <c r="W116" s="20" t="n">
        <f aca="false">ROUND((R116-P116)*24,4)</f>
        <v>67</v>
      </c>
      <c r="X116" s="18" t="str">
        <f aca="false">TEXT(P116,"dddd")</f>
        <v>Tuesday</v>
      </c>
      <c r="Y116" s="18" t="n">
        <f aca="false">HOUR(Q116)</f>
        <v>9</v>
      </c>
    </row>
    <row r="117" customFormat="false" ht="15" hidden="false" customHeight="false" outlineLevel="0" collapsed="false">
      <c r="A117" s="18" t="s">
        <v>32</v>
      </c>
      <c r="B117" s="18" t="s">
        <v>223</v>
      </c>
      <c r="C117" s="18" t="s">
        <v>224</v>
      </c>
      <c r="D117" s="18" t="s">
        <v>47</v>
      </c>
      <c r="E117" s="18" t="s">
        <v>176</v>
      </c>
      <c r="F117" s="18" t="n">
        <v>2601</v>
      </c>
      <c r="G117" s="18" t="s">
        <v>125</v>
      </c>
      <c r="H117" s="18" t="s">
        <v>231</v>
      </c>
      <c r="I117" s="18" t="s">
        <v>23</v>
      </c>
      <c r="J117" s="18" t="s">
        <v>13</v>
      </c>
      <c r="K117" s="18" t="s">
        <v>186</v>
      </c>
      <c r="L117" s="18" t="s">
        <v>125</v>
      </c>
      <c r="M117" s="18" t="s">
        <v>125</v>
      </c>
      <c r="N117" s="18" t="s">
        <v>125</v>
      </c>
      <c r="O117" s="18"/>
      <c r="P117" s="19" t="n">
        <v>46065.4166666667</v>
      </c>
      <c r="Q117" s="19" t="n">
        <v>46065.4583333333</v>
      </c>
      <c r="R117" s="19" t="n">
        <v>46065.8333333333</v>
      </c>
      <c r="S117" s="20" t="n">
        <f aca="false">ROUND((Q117-P117)*24,4)</f>
        <v>1</v>
      </c>
      <c r="T117" s="18" t="str">
        <f aca="false">TEXT(P117,"YYYY-MM")</f>
        <v>2026-02</v>
      </c>
      <c r="U117" s="18" t="n">
        <f aca="false">RANK(S117,$S$2:$S$670)+COUNTIF($S$2:S117,S117)-1</f>
        <v>405</v>
      </c>
      <c r="V117" s="20" t="n">
        <f aca="false">ROUND((R117-Q117)*24,4)</f>
        <v>9</v>
      </c>
      <c r="W117" s="20" t="n">
        <f aca="false">ROUND((R117-P117)*24,4)</f>
        <v>10</v>
      </c>
      <c r="X117" s="18" t="str">
        <f aca="false">TEXT(P117,"dddd")</f>
        <v>Thursday</v>
      </c>
      <c r="Y117" s="18" t="n">
        <f aca="false">HOUR(Q117)</f>
        <v>11</v>
      </c>
    </row>
    <row r="118" customFormat="false" ht="15" hidden="false" customHeight="false" outlineLevel="0" collapsed="false">
      <c r="A118" s="18" t="s">
        <v>36</v>
      </c>
      <c r="B118" s="18" t="s">
        <v>225</v>
      </c>
      <c r="C118" s="18" t="s">
        <v>226</v>
      </c>
      <c r="D118" s="18" t="s">
        <v>47</v>
      </c>
      <c r="E118" s="18" t="s">
        <v>176</v>
      </c>
      <c r="F118" s="18" t="n">
        <v>2602</v>
      </c>
      <c r="G118" s="18" t="s">
        <v>125</v>
      </c>
      <c r="H118" s="18" t="s">
        <v>260</v>
      </c>
      <c r="I118" s="18" t="s">
        <v>23</v>
      </c>
      <c r="J118" s="18" t="s">
        <v>13</v>
      </c>
      <c r="K118" s="18" t="s">
        <v>186</v>
      </c>
      <c r="L118" s="18" t="s">
        <v>125</v>
      </c>
      <c r="M118" s="18" t="s">
        <v>125</v>
      </c>
      <c r="N118" s="18" t="s">
        <v>125</v>
      </c>
      <c r="O118" s="18"/>
      <c r="P118" s="19" t="n">
        <v>46065.9166666667</v>
      </c>
      <c r="Q118" s="19" t="n">
        <v>46065.9583333333</v>
      </c>
      <c r="R118" s="19" t="n">
        <v>46066.4583333333</v>
      </c>
      <c r="S118" s="20" t="n">
        <f aca="false">ROUND((Q118-P118)*24,4)</f>
        <v>1</v>
      </c>
      <c r="T118" s="18" t="str">
        <f aca="false">TEXT(P118,"YYYY-MM")</f>
        <v>2026-02</v>
      </c>
      <c r="U118" s="18" t="n">
        <f aca="false">RANK(S118,$S$2:$S$670)+COUNTIF($S$2:S118,S118)-1</f>
        <v>406</v>
      </c>
      <c r="V118" s="20" t="n">
        <f aca="false">ROUND((R118-Q118)*24,4)</f>
        <v>12</v>
      </c>
      <c r="W118" s="20" t="n">
        <f aca="false">ROUND((R118-P118)*24,4)</f>
        <v>13</v>
      </c>
      <c r="X118" s="18" t="str">
        <f aca="false">TEXT(P118,"dddd")</f>
        <v>Thursday</v>
      </c>
      <c r="Y118" s="18" t="n">
        <f aca="false">HOUR(Q118)</f>
        <v>23</v>
      </c>
    </row>
    <row r="119" customFormat="false" ht="15" hidden="false" customHeight="false" outlineLevel="0" collapsed="false">
      <c r="A119" s="18" t="s">
        <v>31</v>
      </c>
      <c r="B119" s="18" t="s">
        <v>161</v>
      </c>
      <c r="C119" s="18" t="s">
        <v>162</v>
      </c>
      <c r="D119" s="18" t="s">
        <v>46</v>
      </c>
      <c r="E119" s="18" t="s">
        <v>198</v>
      </c>
      <c r="F119" s="18" t="n">
        <v>2602</v>
      </c>
      <c r="G119" s="18" t="s">
        <v>127</v>
      </c>
      <c r="H119" s="18" t="s">
        <v>259</v>
      </c>
      <c r="I119" s="18" t="s">
        <v>24</v>
      </c>
      <c r="J119" s="18" t="s">
        <v>13</v>
      </c>
      <c r="K119" s="18" t="s">
        <v>12</v>
      </c>
      <c r="L119" s="18" t="s">
        <v>125</v>
      </c>
      <c r="M119" s="18" t="s">
        <v>125</v>
      </c>
      <c r="N119" s="18" t="s">
        <v>125</v>
      </c>
      <c r="O119" s="18"/>
      <c r="P119" s="19" t="n">
        <v>46066.4166666667</v>
      </c>
      <c r="Q119" s="19" t="n">
        <v>46066.4583333333</v>
      </c>
      <c r="R119" s="19" t="n">
        <v>46066.9583333333</v>
      </c>
      <c r="S119" s="20" t="n">
        <f aca="false">ROUND((Q119-P119)*24,4)</f>
        <v>1</v>
      </c>
      <c r="T119" s="18" t="str">
        <f aca="false">TEXT(P119,"YYYY-MM")</f>
        <v>2026-02</v>
      </c>
      <c r="U119" s="18" t="n">
        <f aca="false">RANK(S119,$S$2:$S$670)+COUNTIF($S$2:S119,S119)-1</f>
        <v>407</v>
      </c>
      <c r="V119" s="20" t="n">
        <f aca="false">ROUND((R119-Q119)*24,4)</f>
        <v>12</v>
      </c>
      <c r="W119" s="20" t="n">
        <f aca="false">ROUND((R119-P119)*24,4)</f>
        <v>13</v>
      </c>
      <c r="X119" s="18" t="str">
        <f aca="false">TEXT(P119,"dddd")</f>
        <v>Friday</v>
      </c>
      <c r="Y119" s="18" t="n">
        <f aca="false">HOUR(Q119)</f>
        <v>11</v>
      </c>
    </row>
    <row r="120" customFormat="false" ht="15" hidden="false" customHeight="false" outlineLevel="0" collapsed="false">
      <c r="A120" s="18" t="s">
        <v>37</v>
      </c>
      <c r="B120" s="18" t="s">
        <v>208</v>
      </c>
      <c r="C120" s="18" t="s">
        <v>209</v>
      </c>
      <c r="D120" s="18" t="s">
        <v>46</v>
      </c>
      <c r="E120" s="18" t="s">
        <v>185</v>
      </c>
      <c r="F120" s="18" t="n">
        <v>2601</v>
      </c>
      <c r="G120" s="18" t="s">
        <v>125</v>
      </c>
      <c r="H120" s="18" t="s">
        <v>231</v>
      </c>
      <c r="I120" s="18" t="s">
        <v>20</v>
      </c>
      <c r="J120" s="18" t="s">
        <v>13</v>
      </c>
      <c r="K120" s="18" t="s">
        <v>165</v>
      </c>
      <c r="L120" s="18" t="s">
        <v>125</v>
      </c>
      <c r="M120" s="18" t="s">
        <v>125</v>
      </c>
      <c r="N120" s="18" t="s">
        <v>125</v>
      </c>
      <c r="O120" s="18"/>
      <c r="P120" s="19" t="n">
        <v>46066.5</v>
      </c>
      <c r="Q120" s="19" t="n">
        <v>46068.1666666667</v>
      </c>
      <c r="R120" s="19" t="n">
        <v>46068.7916666667</v>
      </c>
      <c r="S120" s="20" t="n">
        <f aca="false">ROUND((Q120-P120)*24,4)</f>
        <v>40</v>
      </c>
      <c r="T120" s="18" t="str">
        <f aca="false">TEXT(P120,"YYYY-MM")</f>
        <v>2026-02</v>
      </c>
      <c r="U120" s="18" t="n">
        <f aca="false">RANK(S120,$S$2:$S$670)+COUNTIF($S$2:S120,S120)-1</f>
        <v>13</v>
      </c>
      <c r="V120" s="20" t="n">
        <f aca="false">ROUND((R120-Q120)*24,4)</f>
        <v>15</v>
      </c>
      <c r="W120" s="20" t="n">
        <f aca="false">ROUND((R120-P120)*24,4)</f>
        <v>55</v>
      </c>
      <c r="X120" s="18" t="str">
        <f aca="false">TEXT(P120,"dddd")</f>
        <v>Friday</v>
      </c>
      <c r="Y120" s="18" t="n">
        <f aca="false">HOUR(Q120)</f>
        <v>4</v>
      </c>
    </row>
    <row r="121" customFormat="false" ht="15" hidden="false" customHeight="false" outlineLevel="0" collapsed="false">
      <c r="A121" s="18" t="s">
        <v>34</v>
      </c>
      <c r="B121" s="18" t="s">
        <v>233</v>
      </c>
      <c r="C121" s="18" t="s">
        <v>234</v>
      </c>
      <c r="D121" s="18" t="s">
        <v>46</v>
      </c>
      <c r="E121" s="18" t="s">
        <v>185</v>
      </c>
      <c r="F121" s="18" t="n">
        <v>2601</v>
      </c>
      <c r="G121" s="18" t="s">
        <v>125</v>
      </c>
      <c r="H121" s="18" t="s">
        <v>231</v>
      </c>
      <c r="I121" s="18" t="s">
        <v>20</v>
      </c>
      <c r="J121" s="18" t="s">
        <v>13</v>
      </c>
      <c r="K121" s="18" t="s">
        <v>165</v>
      </c>
      <c r="L121" s="18" t="s">
        <v>125</v>
      </c>
      <c r="M121" s="18" t="s">
        <v>125</v>
      </c>
      <c r="N121" s="18" t="s">
        <v>125</v>
      </c>
      <c r="O121" s="18"/>
      <c r="P121" s="19" t="n">
        <v>46066.5833333333</v>
      </c>
      <c r="Q121" s="19" t="n">
        <v>46067</v>
      </c>
      <c r="R121" s="19" t="n">
        <v>46067.4166666667</v>
      </c>
      <c r="S121" s="20" t="n">
        <f aca="false">ROUND((Q121-P121)*24,4)</f>
        <v>10</v>
      </c>
      <c r="T121" s="18" t="str">
        <f aca="false">TEXT(P121,"YYYY-MM")</f>
        <v>2026-02</v>
      </c>
      <c r="U121" s="18" t="n">
        <f aca="false">RANK(S121,$S$2:$S$670)+COUNTIF($S$2:S121,S121)-1</f>
        <v>139</v>
      </c>
      <c r="V121" s="20" t="n">
        <f aca="false">ROUND((R121-Q121)*24,4)</f>
        <v>10</v>
      </c>
      <c r="W121" s="20" t="n">
        <f aca="false">ROUND((R121-P121)*24,4)</f>
        <v>20</v>
      </c>
      <c r="X121" s="18" t="str">
        <f aca="false">TEXT(P121,"dddd")</f>
        <v>Friday</v>
      </c>
      <c r="Y121" s="18" t="n">
        <f aca="false">HOUR(Q121)</f>
        <v>0</v>
      </c>
    </row>
    <row r="122" customFormat="false" ht="15" hidden="false" customHeight="false" outlineLevel="0" collapsed="false">
      <c r="A122" s="18" t="s">
        <v>38</v>
      </c>
      <c r="B122" s="18" t="s">
        <v>211</v>
      </c>
      <c r="C122" s="18" t="s">
        <v>212</v>
      </c>
      <c r="D122" s="18" t="s">
        <v>47</v>
      </c>
      <c r="E122" s="18" t="s">
        <v>163</v>
      </c>
      <c r="F122" s="18" t="n">
        <v>2601</v>
      </c>
      <c r="G122" s="18" t="s">
        <v>127</v>
      </c>
      <c r="H122" s="18" t="s">
        <v>227</v>
      </c>
      <c r="I122" s="18" t="s">
        <v>23</v>
      </c>
      <c r="J122" s="18" t="s">
        <v>13</v>
      </c>
      <c r="K122" s="18" t="s">
        <v>181</v>
      </c>
      <c r="L122" s="18" t="s">
        <v>125</v>
      </c>
      <c r="M122" s="18" t="s">
        <v>125</v>
      </c>
      <c r="N122" s="18" t="s">
        <v>125</v>
      </c>
      <c r="O122" s="18"/>
      <c r="P122" s="19" t="n">
        <v>46067.0416666667</v>
      </c>
      <c r="Q122" s="19" t="n">
        <v>46067.1541666667</v>
      </c>
      <c r="R122" s="19" t="n">
        <v>46068.25</v>
      </c>
      <c r="S122" s="20" t="n">
        <f aca="false">ROUND((Q122-P122)*24,4)</f>
        <v>2.7</v>
      </c>
      <c r="T122" s="18" t="str">
        <f aca="false">TEXT(P122,"YYYY-MM")</f>
        <v>2026-02</v>
      </c>
      <c r="U122" s="18" t="n">
        <f aca="false">RANK(S122,$S$2:$S$670)+COUNTIF($S$2:S122,S122)-1</f>
        <v>301</v>
      </c>
      <c r="V122" s="20" t="n">
        <f aca="false">ROUND((R122-Q122)*24,4)</f>
        <v>26.3</v>
      </c>
      <c r="W122" s="20" t="n">
        <f aca="false">ROUND((R122-P122)*24,4)</f>
        <v>29</v>
      </c>
      <c r="X122" s="18" t="str">
        <f aca="false">TEXT(P122,"dddd")</f>
        <v>Saturday</v>
      </c>
      <c r="Y122" s="18" t="n">
        <f aca="false">HOUR(Q122)</f>
        <v>3</v>
      </c>
    </row>
    <row r="123" customFormat="false" ht="15" hidden="false" customHeight="false" outlineLevel="0" collapsed="false">
      <c r="A123" s="18" t="s">
        <v>31</v>
      </c>
      <c r="B123" s="18" t="s">
        <v>161</v>
      </c>
      <c r="C123" s="18" t="s">
        <v>162</v>
      </c>
      <c r="D123" s="18" t="s">
        <v>46</v>
      </c>
      <c r="E123" s="18" t="s">
        <v>168</v>
      </c>
      <c r="F123" s="18" t="n">
        <v>2602</v>
      </c>
      <c r="G123" s="18" t="s">
        <v>125</v>
      </c>
      <c r="H123" s="18" t="s">
        <v>260</v>
      </c>
      <c r="I123" s="18" t="s">
        <v>18</v>
      </c>
      <c r="J123" s="18" t="s">
        <v>12</v>
      </c>
      <c r="K123" s="18" t="s">
        <v>13</v>
      </c>
      <c r="L123" s="18" t="s">
        <v>125</v>
      </c>
      <c r="M123" s="18" t="s">
        <v>125</v>
      </c>
      <c r="N123" s="18" t="s">
        <v>125</v>
      </c>
      <c r="O123" s="18"/>
      <c r="P123" s="19" t="n">
        <v>46067.0833333333</v>
      </c>
      <c r="Q123" s="19" t="n">
        <v>46067.1666666667</v>
      </c>
      <c r="R123" s="19" t="n">
        <v>46068.0833333333</v>
      </c>
      <c r="S123" s="20" t="n">
        <f aca="false">ROUND((Q123-P123)*24,4)</f>
        <v>2</v>
      </c>
      <c r="T123" s="18" t="str">
        <f aca="false">TEXT(P123,"YYYY-MM")</f>
        <v>2026-02</v>
      </c>
      <c r="U123" s="18" t="n">
        <f aca="false">RANK(S123,$S$2:$S$670)+COUNTIF($S$2:S123,S123)-1</f>
        <v>323</v>
      </c>
      <c r="V123" s="20" t="n">
        <f aca="false">ROUND((R123-Q123)*24,4)</f>
        <v>22</v>
      </c>
      <c r="W123" s="20" t="n">
        <f aca="false">ROUND((R123-P123)*24,4)</f>
        <v>24</v>
      </c>
      <c r="X123" s="18" t="str">
        <f aca="false">TEXT(P123,"dddd")</f>
        <v>Saturday</v>
      </c>
      <c r="Y123" s="18" t="n">
        <f aca="false">HOUR(Q123)</f>
        <v>4</v>
      </c>
    </row>
    <row r="124" customFormat="false" ht="15" hidden="false" customHeight="false" outlineLevel="0" collapsed="false">
      <c r="A124" s="18" t="s">
        <v>35</v>
      </c>
      <c r="B124" s="18" t="s">
        <v>228</v>
      </c>
      <c r="C124" s="18" t="s">
        <v>229</v>
      </c>
      <c r="D124" s="18" t="s">
        <v>52</v>
      </c>
      <c r="E124" s="18" t="s">
        <v>198</v>
      </c>
      <c r="F124" s="18" t="n">
        <v>26001</v>
      </c>
      <c r="G124" s="18" t="s">
        <v>127</v>
      </c>
      <c r="H124" s="18" t="s">
        <v>261</v>
      </c>
      <c r="I124" s="18" t="s">
        <v>20</v>
      </c>
      <c r="J124" s="18" t="s">
        <v>13</v>
      </c>
      <c r="K124" s="18" t="s">
        <v>12</v>
      </c>
      <c r="L124" s="18" t="s">
        <v>125</v>
      </c>
      <c r="M124" s="18" t="s">
        <v>125</v>
      </c>
      <c r="N124" s="18" t="s">
        <v>125</v>
      </c>
      <c r="O124" s="18"/>
      <c r="P124" s="19" t="n">
        <v>46067.5</v>
      </c>
      <c r="Q124" s="19" t="n">
        <v>46067.5416666667</v>
      </c>
      <c r="R124" s="19" t="n">
        <v>46068.0208333333</v>
      </c>
      <c r="S124" s="20" t="n">
        <f aca="false">ROUND((Q124-P124)*24,4)</f>
        <v>1</v>
      </c>
      <c r="T124" s="18" t="str">
        <f aca="false">TEXT(P124,"YYYY-MM")</f>
        <v>2026-02</v>
      </c>
      <c r="U124" s="18" t="n">
        <f aca="false">RANK(S124,$S$2:$S$670)+COUNTIF($S$2:S124,S124)-1</f>
        <v>408</v>
      </c>
      <c r="V124" s="20" t="n">
        <f aca="false">ROUND((R124-Q124)*24,4)</f>
        <v>11.5</v>
      </c>
      <c r="W124" s="20" t="n">
        <f aca="false">ROUND((R124-P124)*24,4)</f>
        <v>12.5</v>
      </c>
      <c r="X124" s="18" t="str">
        <f aca="false">TEXT(P124,"dddd")</f>
        <v>Saturday</v>
      </c>
      <c r="Y124" s="18" t="n">
        <f aca="false">HOUR(Q124)</f>
        <v>13</v>
      </c>
    </row>
    <row r="125" customFormat="false" ht="15" hidden="false" customHeight="false" outlineLevel="0" collapsed="false">
      <c r="A125" s="18" t="s">
        <v>34</v>
      </c>
      <c r="B125" s="18" t="s">
        <v>240</v>
      </c>
      <c r="C125" s="18" t="s">
        <v>241</v>
      </c>
      <c r="D125" s="18" t="s">
        <v>50</v>
      </c>
      <c r="E125" s="18" t="s">
        <v>163</v>
      </c>
      <c r="F125" s="18" t="n">
        <v>2602</v>
      </c>
      <c r="G125" s="18" t="s">
        <v>127</v>
      </c>
      <c r="H125" s="18" t="s">
        <v>259</v>
      </c>
      <c r="I125" s="18" t="s">
        <v>20</v>
      </c>
      <c r="J125" s="18" t="s">
        <v>13</v>
      </c>
      <c r="K125" s="18" t="s">
        <v>12</v>
      </c>
      <c r="L125" s="18" t="s">
        <v>125</v>
      </c>
      <c r="M125" s="18" t="s">
        <v>125</v>
      </c>
      <c r="N125" s="18" t="s">
        <v>125</v>
      </c>
      <c r="O125" s="18"/>
      <c r="P125" s="19" t="n">
        <v>46067.9375</v>
      </c>
      <c r="Q125" s="19" t="n">
        <v>46068</v>
      </c>
      <c r="R125" s="19" t="n">
        <v>46068.3333333333</v>
      </c>
      <c r="S125" s="20" t="n">
        <f aca="false">ROUND((Q125-P125)*24,4)</f>
        <v>1.5</v>
      </c>
      <c r="T125" s="18" t="str">
        <f aca="false">TEXT(P125,"YYYY-MM")</f>
        <v>2026-02</v>
      </c>
      <c r="U125" s="18" t="n">
        <f aca="false">RANK(S125,$S$2:$S$670)+COUNTIF($S$2:S125,S125)-1</f>
        <v>357</v>
      </c>
      <c r="V125" s="20" t="n">
        <f aca="false">ROUND((R125-Q125)*24,4)</f>
        <v>8</v>
      </c>
      <c r="W125" s="20" t="n">
        <f aca="false">ROUND((R125-P125)*24,4)</f>
        <v>9.5</v>
      </c>
      <c r="X125" s="18" t="str">
        <f aca="false">TEXT(P125,"dddd")</f>
        <v>Saturday</v>
      </c>
      <c r="Y125" s="18" t="n">
        <f aca="false">HOUR(Q125)</f>
        <v>0</v>
      </c>
    </row>
    <row r="126" customFormat="false" ht="15" hidden="false" customHeight="false" outlineLevel="0" collapsed="false">
      <c r="A126" s="18" t="s">
        <v>35</v>
      </c>
      <c r="B126" s="18" t="s">
        <v>228</v>
      </c>
      <c r="C126" s="18" t="s">
        <v>229</v>
      </c>
      <c r="D126" s="18" t="s">
        <v>52</v>
      </c>
      <c r="E126" s="18" t="s">
        <v>168</v>
      </c>
      <c r="F126" s="18" t="n">
        <v>26001</v>
      </c>
      <c r="G126" s="18" t="s">
        <v>125</v>
      </c>
      <c r="H126" s="18" t="s">
        <v>262</v>
      </c>
      <c r="I126" s="18" t="s">
        <v>19</v>
      </c>
      <c r="J126" s="18" t="s">
        <v>12</v>
      </c>
      <c r="K126" s="18" t="s">
        <v>13</v>
      </c>
      <c r="L126" s="18" t="s">
        <v>125</v>
      </c>
      <c r="M126" s="18" t="s">
        <v>125</v>
      </c>
      <c r="N126" s="18" t="s">
        <v>125</v>
      </c>
      <c r="O126" s="18"/>
      <c r="P126" s="19" t="n">
        <v>46068.0416666667</v>
      </c>
      <c r="Q126" s="19" t="n">
        <v>46068.4583333333</v>
      </c>
      <c r="R126" s="19" t="n">
        <v>46070.125</v>
      </c>
      <c r="S126" s="20" t="n">
        <f aca="false">ROUND((Q126-P126)*24,4)</f>
        <v>10</v>
      </c>
      <c r="T126" s="18" t="str">
        <f aca="false">TEXT(P126,"YYYY-MM")</f>
        <v>2026-02</v>
      </c>
      <c r="U126" s="18" t="n">
        <f aca="false">RANK(S126,$S$2:$S$670)+COUNTIF($S$2:S126,S126)-1</f>
        <v>140</v>
      </c>
      <c r="V126" s="20" t="n">
        <f aca="false">ROUND((R126-Q126)*24,4)</f>
        <v>40</v>
      </c>
      <c r="W126" s="20" t="n">
        <f aca="false">ROUND((R126-P126)*24,4)</f>
        <v>50</v>
      </c>
      <c r="X126" s="18" t="str">
        <f aca="false">TEXT(P126,"dddd")</f>
        <v>Sunday</v>
      </c>
      <c r="Y126" s="18" t="n">
        <f aca="false">HOUR(Q126)</f>
        <v>11</v>
      </c>
    </row>
    <row r="127" customFormat="false" ht="15" hidden="false" customHeight="false" outlineLevel="0" collapsed="false">
      <c r="A127" s="18" t="s">
        <v>31</v>
      </c>
      <c r="B127" s="18" t="s">
        <v>161</v>
      </c>
      <c r="C127" s="18" t="s">
        <v>162</v>
      </c>
      <c r="D127" s="18" t="s">
        <v>46</v>
      </c>
      <c r="E127" s="18" t="s">
        <v>163</v>
      </c>
      <c r="F127" s="18" t="n">
        <v>2602</v>
      </c>
      <c r="G127" s="18" t="s">
        <v>125</v>
      </c>
      <c r="H127" s="18" t="s">
        <v>260</v>
      </c>
      <c r="I127" s="18" t="s">
        <v>24</v>
      </c>
      <c r="J127" s="18" t="s">
        <v>13</v>
      </c>
      <c r="K127" s="18" t="s">
        <v>165</v>
      </c>
      <c r="L127" s="18" t="s">
        <v>125</v>
      </c>
      <c r="M127" s="18" t="s">
        <v>125</v>
      </c>
      <c r="N127" s="18" t="s">
        <v>125</v>
      </c>
      <c r="O127" s="18"/>
      <c r="P127" s="19" t="n">
        <v>46068.25</v>
      </c>
      <c r="Q127" s="19" t="n">
        <v>46068.2916666667</v>
      </c>
      <c r="R127" s="19" t="n">
        <v>46068.7916666667</v>
      </c>
      <c r="S127" s="20" t="n">
        <f aca="false">ROUND((Q127-P127)*24,4)</f>
        <v>1</v>
      </c>
      <c r="T127" s="18" t="str">
        <f aca="false">TEXT(P127,"YYYY-MM")</f>
        <v>2026-02</v>
      </c>
      <c r="U127" s="18" t="n">
        <f aca="false">RANK(S127,$S$2:$S$670)+COUNTIF($S$2:S127,S127)-1</f>
        <v>409</v>
      </c>
      <c r="V127" s="20" t="n">
        <f aca="false">ROUND((R127-Q127)*24,4)</f>
        <v>12</v>
      </c>
      <c r="W127" s="20" t="n">
        <f aca="false">ROUND((R127-P127)*24,4)</f>
        <v>13</v>
      </c>
      <c r="X127" s="18" t="str">
        <f aca="false">TEXT(P127,"dddd")</f>
        <v>Sunday</v>
      </c>
      <c r="Y127" s="18" t="n">
        <f aca="false">HOUR(Q127)</f>
        <v>7</v>
      </c>
    </row>
    <row r="128" customFormat="false" ht="15" hidden="false" customHeight="false" outlineLevel="0" collapsed="false">
      <c r="A128" s="18" t="s">
        <v>34</v>
      </c>
      <c r="B128" s="18" t="s">
        <v>240</v>
      </c>
      <c r="C128" s="18" t="s">
        <v>241</v>
      </c>
      <c r="D128" s="18" t="s">
        <v>50</v>
      </c>
      <c r="E128" s="18" t="s">
        <v>176</v>
      </c>
      <c r="F128" s="18" t="n">
        <v>2602</v>
      </c>
      <c r="G128" s="18" t="s">
        <v>125</v>
      </c>
      <c r="H128" s="18" t="s">
        <v>260</v>
      </c>
      <c r="I128" s="18" t="s">
        <v>17</v>
      </c>
      <c r="J128" s="18" t="s">
        <v>12</v>
      </c>
      <c r="K128" s="18" t="s">
        <v>13</v>
      </c>
      <c r="L128" s="18" t="s">
        <v>125</v>
      </c>
      <c r="M128" s="18" t="s">
        <v>125</v>
      </c>
      <c r="N128" s="18" t="s">
        <v>125</v>
      </c>
      <c r="O128" s="18"/>
      <c r="P128" s="19" t="n">
        <v>46068.4166666667</v>
      </c>
      <c r="Q128" s="19" t="n">
        <v>46070.3333333333</v>
      </c>
      <c r="R128" s="19" t="n">
        <v>46071.6166666667</v>
      </c>
      <c r="S128" s="20" t="n">
        <f aca="false">ROUND((Q128-P128)*24,4)</f>
        <v>46</v>
      </c>
      <c r="T128" s="18" t="str">
        <f aca="false">TEXT(P128,"YYYY-MM")</f>
        <v>2026-02</v>
      </c>
      <c r="U128" s="18" t="n">
        <f aca="false">RANK(S128,$S$2:$S$670)+COUNTIF($S$2:S128,S128)-1</f>
        <v>9</v>
      </c>
      <c r="V128" s="20" t="n">
        <f aca="false">ROUND((R128-Q128)*24,4)</f>
        <v>30.8</v>
      </c>
      <c r="W128" s="20" t="n">
        <f aca="false">ROUND((R128-P128)*24,4)</f>
        <v>76.8</v>
      </c>
      <c r="X128" s="18" t="str">
        <f aca="false">TEXT(P128,"dddd")</f>
        <v>Sunday</v>
      </c>
      <c r="Y128" s="18" t="n">
        <f aca="false">HOUR(Q128)</f>
        <v>8</v>
      </c>
    </row>
    <row r="129" customFormat="false" ht="15" hidden="false" customHeight="false" outlineLevel="0" collapsed="false">
      <c r="A129" s="18" t="s">
        <v>32</v>
      </c>
      <c r="B129" s="18" t="s">
        <v>182</v>
      </c>
      <c r="C129" s="18" t="s">
        <v>183</v>
      </c>
      <c r="D129" s="18" t="s">
        <v>48</v>
      </c>
      <c r="E129" s="18" t="s">
        <v>168</v>
      </c>
      <c r="F129" s="18" t="n">
        <v>2602</v>
      </c>
      <c r="G129" s="18" t="s">
        <v>127</v>
      </c>
      <c r="H129" s="18" t="s">
        <v>259</v>
      </c>
      <c r="I129" s="18" t="s">
        <v>23</v>
      </c>
      <c r="J129" s="18" t="s">
        <v>13</v>
      </c>
      <c r="K129" s="18" t="s">
        <v>12</v>
      </c>
      <c r="L129" s="18" t="s">
        <v>125</v>
      </c>
      <c r="M129" s="18" t="s">
        <v>125</v>
      </c>
      <c r="N129" s="18" t="s">
        <v>125</v>
      </c>
      <c r="O129" s="18"/>
      <c r="P129" s="19" t="n">
        <v>46068.8958333333</v>
      </c>
      <c r="Q129" s="19" t="n">
        <v>46069.2083333333</v>
      </c>
      <c r="R129" s="19" t="n">
        <v>46069.4583333333</v>
      </c>
      <c r="S129" s="20" t="n">
        <f aca="false">ROUND((Q129-P129)*24,4)</f>
        <v>7.5</v>
      </c>
      <c r="T129" s="18" t="str">
        <f aca="false">TEXT(P129,"YYYY-MM")</f>
        <v>2026-02</v>
      </c>
      <c r="U129" s="18" t="n">
        <f aca="false">RANK(S129,$S$2:$S$670)+COUNTIF($S$2:S129,S129)-1</f>
        <v>180</v>
      </c>
      <c r="V129" s="20" t="n">
        <f aca="false">ROUND((R129-Q129)*24,4)</f>
        <v>6</v>
      </c>
      <c r="W129" s="20" t="n">
        <f aca="false">ROUND((R129-P129)*24,4)</f>
        <v>13.5</v>
      </c>
      <c r="X129" s="18" t="str">
        <f aca="false">TEXT(P129,"dddd")</f>
        <v>Sunday</v>
      </c>
      <c r="Y129" s="18" t="n">
        <f aca="false">HOUR(Q129)</f>
        <v>5</v>
      </c>
    </row>
    <row r="130" customFormat="false" ht="15" hidden="false" customHeight="false" outlineLevel="0" collapsed="false">
      <c r="A130" s="18" t="s">
        <v>32</v>
      </c>
      <c r="B130" s="18" t="s">
        <v>182</v>
      </c>
      <c r="C130" s="18" t="s">
        <v>183</v>
      </c>
      <c r="D130" s="18" t="s">
        <v>48</v>
      </c>
      <c r="E130" s="18" t="s">
        <v>163</v>
      </c>
      <c r="F130" s="18" t="n">
        <v>2602</v>
      </c>
      <c r="G130" s="18" t="s">
        <v>125</v>
      </c>
      <c r="H130" s="18" t="s">
        <v>260</v>
      </c>
      <c r="I130" s="18" t="s">
        <v>17</v>
      </c>
      <c r="J130" s="18" t="s">
        <v>12</v>
      </c>
      <c r="K130" s="18" t="s">
        <v>13</v>
      </c>
      <c r="L130" s="18" t="s">
        <v>125</v>
      </c>
      <c r="M130" s="18" t="s">
        <v>125</v>
      </c>
      <c r="N130" s="18" t="s">
        <v>125</v>
      </c>
      <c r="O130" s="18"/>
      <c r="P130" s="19" t="n">
        <v>46069.625</v>
      </c>
      <c r="Q130" s="19" t="n">
        <v>46069.7291666667</v>
      </c>
      <c r="R130" s="19" t="n">
        <v>46071.0625</v>
      </c>
      <c r="S130" s="20" t="n">
        <f aca="false">ROUND((Q130-P130)*24,4)</f>
        <v>2.5</v>
      </c>
      <c r="T130" s="18" t="str">
        <f aca="false">TEXT(P130,"YYYY-MM")</f>
        <v>2026-02</v>
      </c>
      <c r="U130" s="18" t="n">
        <f aca="false">RANK(S130,$S$2:$S$670)+COUNTIF($S$2:S130,S130)-1</f>
        <v>307</v>
      </c>
      <c r="V130" s="20" t="n">
        <f aca="false">ROUND((R130-Q130)*24,4)</f>
        <v>32</v>
      </c>
      <c r="W130" s="20" t="n">
        <f aca="false">ROUND((R130-P130)*24,4)</f>
        <v>34.5</v>
      </c>
      <c r="X130" s="18" t="str">
        <f aca="false">TEXT(P130,"dddd")</f>
        <v>Monday</v>
      </c>
      <c r="Y130" s="18" t="n">
        <f aca="false">HOUR(Q130)</f>
        <v>17</v>
      </c>
    </row>
    <row r="131" customFormat="false" ht="15" hidden="false" customHeight="false" outlineLevel="0" collapsed="false">
      <c r="A131" s="18" t="s">
        <v>33</v>
      </c>
      <c r="B131" s="18" t="s">
        <v>246</v>
      </c>
      <c r="C131" s="18" t="s">
        <v>247</v>
      </c>
      <c r="D131" s="18" t="s">
        <v>51</v>
      </c>
      <c r="E131" s="18" t="s">
        <v>163</v>
      </c>
      <c r="F131" s="18" t="n">
        <v>142</v>
      </c>
      <c r="G131" s="18" t="s">
        <v>127</v>
      </c>
      <c r="H131" s="18" t="s">
        <v>263</v>
      </c>
      <c r="I131" s="18" t="s">
        <v>23</v>
      </c>
      <c r="J131" s="18" t="s">
        <v>13</v>
      </c>
      <c r="K131" s="18" t="s">
        <v>12</v>
      </c>
      <c r="L131" s="18" t="s">
        <v>125</v>
      </c>
      <c r="M131" s="18" t="s">
        <v>125</v>
      </c>
      <c r="N131" s="18" t="s">
        <v>125</v>
      </c>
      <c r="O131" s="18"/>
      <c r="P131" s="19" t="n">
        <v>46069.7291666667</v>
      </c>
      <c r="Q131" s="19" t="n">
        <v>46069.8333333333</v>
      </c>
      <c r="R131" s="19" t="n">
        <v>46070.125</v>
      </c>
      <c r="S131" s="20" t="n">
        <f aca="false">ROUND((Q131-P131)*24,4)</f>
        <v>2.5</v>
      </c>
      <c r="T131" s="18" t="str">
        <f aca="false">TEXT(P131,"YYYY-MM")</f>
        <v>2026-02</v>
      </c>
      <c r="U131" s="18" t="n">
        <f aca="false">RANK(S131,$S$2:$S$670)+COUNTIF($S$2:S131,S131)-1</f>
        <v>308</v>
      </c>
      <c r="V131" s="20" t="n">
        <f aca="false">ROUND((R131-Q131)*24,4)</f>
        <v>7</v>
      </c>
      <c r="W131" s="20" t="n">
        <f aca="false">ROUND((R131-P131)*24,4)</f>
        <v>9.5</v>
      </c>
      <c r="X131" s="18" t="str">
        <f aca="false">TEXT(P131,"dddd")</f>
        <v>Monday</v>
      </c>
      <c r="Y131" s="18" t="n">
        <f aca="false">HOUR(Q131)</f>
        <v>20</v>
      </c>
    </row>
    <row r="132" customFormat="false" ht="15" hidden="false" customHeight="false" outlineLevel="0" collapsed="false">
      <c r="A132" s="18" t="s">
        <v>33</v>
      </c>
      <c r="B132" s="18" t="s">
        <v>246</v>
      </c>
      <c r="C132" s="18" t="s">
        <v>247</v>
      </c>
      <c r="D132" s="18" t="s">
        <v>51</v>
      </c>
      <c r="E132" s="18" t="s">
        <v>176</v>
      </c>
      <c r="F132" s="18" t="n">
        <v>142</v>
      </c>
      <c r="G132" s="18" t="s">
        <v>125</v>
      </c>
      <c r="H132" s="18" t="s">
        <v>264</v>
      </c>
      <c r="I132" s="18" t="s">
        <v>18</v>
      </c>
      <c r="J132" s="18" t="s">
        <v>12</v>
      </c>
      <c r="K132" s="18" t="s">
        <v>13</v>
      </c>
      <c r="L132" s="18" t="s">
        <v>125</v>
      </c>
      <c r="M132" s="18" t="s">
        <v>125</v>
      </c>
      <c r="N132" s="18" t="s">
        <v>125</v>
      </c>
      <c r="O132" s="18"/>
      <c r="P132" s="19" t="n">
        <v>46070.3333333333</v>
      </c>
      <c r="Q132" s="19" t="n">
        <v>46071.1875</v>
      </c>
      <c r="R132" s="19" t="n">
        <v>46071.7083333333</v>
      </c>
      <c r="S132" s="20" t="n">
        <f aca="false">ROUND((Q132-P132)*24,4)</f>
        <v>20.5</v>
      </c>
      <c r="T132" s="18" t="str">
        <f aca="false">TEXT(P132,"YYYY-MM")</f>
        <v>2026-02</v>
      </c>
      <c r="U132" s="18" t="n">
        <f aca="false">RANK(S132,$S$2:$S$670)+COUNTIF($S$2:S132,S132)-1</f>
        <v>45</v>
      </c>
      <c r="V132" s="20" t="n">
        <f aca="false">ROUND((R132-Q132)*24,4)</f>
        <v>12.5</v>
      </c>
      <c r="W132" s="20" t="n">
        <f aca="false">ROUND((R132-P132)*24,4)</f>
        <v>33</v>
      </c>
      <c r="X132" s="18" t="str">
        <f aca="false">TEXT(P132,"dddd")</f>
        <v>Tuesday</v>
      </c>
      <c r="Y132" s="18" t="n">
        <f aca="false">HOUR(Q132)</f>
        <v>4</v>
      </c>
    </row>
    <row r="133" customFormat="false" ht="15" hidden="false" customHeight="false" outlineLevel="0" collapsed="false">
      <c r="A133" s="18" t="s">
        <v>35</v>
      </c>
      <c r="B133" s="18" t="s">
        <v>228</v>
      </c>
      <c r="C133" s="18" t="s">
        <v>229</v>
      </c>
      <c r="D133" s="18" t="s">
        <v>52</v>
      </c>
      <c r="E133" s="18" t="s">
        <v>163</v>
      </c>
      <c r="F133" s="18" t="n">
        <v>26001</v>
      </c>
      <c r="G133" s="18" t="s">
        <v>125</v>
      </c>
      <c r="H133" s="18" t="s">
        <v>262</v>
      </c>
      <c r="I133" s="18" t="s">
        <v>20</v>
      </c>
      <c r="J133" s="18" t="s">
        <v>13</v>
      </c>
      <c r="K133" s="18" t="s">
        <v>186</v>
      </c>
      <c r="L133" s="18" t="s">
        <v>125</v>
      </c>
      <c r="M133" s="18" t="s">
        <v>125</v>
      </c>
      <c r="N133" s="18" t="s">
        <v>125</v>
      </c>
      <c r="O133" s="18"/>
      <c r="P133" s="19" t="n">
        <v>46070.3333333333</v>
      </c>
      <c r="Q133" s="19" t="n">
        <v>46070.5416666667</v>
      </c>
      <c r="R133" s="19" t="n">
        <v>46070.9791666667</v>
      </c>
      <c r="S133" s="20" t="n">
        <f aca="false">ROUND((Q133-P133)*24,4)</f>
        <v>5</v>
      </c>
      <c r="T133" s="18" t="str">
        <f aca="false">TEXT(P133,"YYYY-MM")</f>
        <v>2026-02</v>
      </c>
      <c r="U133" s="18" t="n">
        <f aca="false">RANK(S133,$S$2:$S$670)+COUNTIF($S$2:S133,S133)-1</f>
        <v>226</v>
      </c>
      <c r="V133" s="20" t="n">
        <f aca="false">ROUND((R133-Q133)*24,4)</f>
        <v>10.5</v>
      </c>
      <c r="W133" s="20" t="n">
        <f aca="false">ROUND((R133-P133)*24,4)</f>
        <v>15.5</v>
      </c>
      <c r="X133" s="18" t="str">
        <f aca="false">TEXT(P133,"dddd")</f>
        <v>Tuesday</v>
      </c>
      <c r="Y133" s="18" t="n">
        <f aca="false">HOUR(Q133)</f>
        <v>13</v>
      </c>
    </row>
    <row r="134" customFormat="false" ht="15" hidden="false" customHeight="false" outlineLevel="0" collapsed="false">
      <c r="A134" s="18" t="s">
        <v>32</v>
      </c>
      <c r="B134" s="18" t="s">
        <v>182</v>
      </c>
      <c r="C134" s="18" t="s">
        <v>183</v>
      </c>
      <c r="D134" s="18" t="s">
        <v>48</v>
      </c>
      <c r="E134" s="18" t="s">
        <v>176</v>
      </c>
      <c r="F134" s="18" t="n">
        <v>2602</v>
      </c>
      <c r="G134" s="18" t="s">
        <v>125</v>
      </c>
      <c r="H134" s="18" t="s">
        <v>260</v>
      </c>
      <c r="I134" s="18" t="s">
        <v>23</v>
      </c>
      <c r="J134" s="18" t="s">
        <v>13</v>
      </c>
      <c r="K134" s="18" t="s">
        <v>186</v>
      </c>
      <c r="L134" s="18" t="s">
        <v>125</v>
      </c>
      <c r="M134" s="18" t="s">
        <v>125</v>
      </c>
      <c r="N134" s="18" t="s">
        <v>125</v>
      </c>
      <c r="O134" s="18"/>
      <c r="P134" s="19" t="n">
        <v>46071.2916666667</v>
      </c>
      <c r="Q134" s="19" t="n">
        <v>46071.3125</v>
      </c>
      <c r="R134" s="19" t="n">
        <v>46071.8125</v>
      </c>
      <c r="S134" s="20" t="n">
        <f aca="false">ROUND((Q134-P134)*24,4)</f>
        <v>0.5</v>
      </c>
      <c r="T134" s="18" t="str">
        <f aca="false">TEXT(P134,"YYYY-MM")</f>
        <v>2026-02</v>
      </c>
      <c r="U134" s="18" t="n">
        <f aca="false">RANK(S134,$S$2:$S$670)+COUNTIF($S$2:S134,S134)-1</f>
        <v>606</v>
      </c>
      <c r="V134" s="20" t="n">
        <f aca="false">ROUND((R134-Q134)*24,4)</f>
        <v>12</v>
      </c>
      <c r="W134" s="20" t="n">
        <f aca="false">ROUND((R134-P134)*24,4)</f>
        <v>12.5</v>
      </c>
      <c r="X134" s="18" t="str">
        <f aca="false">TEXT(P134,"dddd")</f>
        <v>Wednesday</v>
      </c>
      <c r="Y134" s="18" t="n">
        <f aca="false">HOUR(Q134)</f>
        <v>7</v>
      </c>
    </row>
    <row r="135" customFormat="false" ht="15" hidden="false" customHeight="false" outlineLevel="0" collapsed="false">
      <c r="A135" s="18" t="s">
        <v>36</v>
      </c>
      <c r="B135" s="18" t="s">
        <v>265</v>
      </c>
      <c r="C135" s="18" t="s">
        <v>266</v>
      </c>
      <c r="D135" s="18" t="s">
        <v>47</v>
      </c>
      <c r="E135" s="18" t="s">
        <v>168</v>
      </c>
      <c r="F135" s="18" t="n">
        <v>2601</v>
      </c>
      <c r="G135" s="18" t="s">
        <v>127</v>
      </c>
      <c r="H135" s="18" t="s">
        <v>227</v>
      </c>
      <c r="I135" s="18" t="s">
        <v>23</v>
      </c>
      <c r="J135" s="18" t="s">
        <v>13</v>
      </c>
      <c r="K135" s="18" t="s">
        <v>12</v>
      </c>
      <c r="L135" s="18" t="s">
        <v>125</v>
      </c>
      <c r="M135" s="18" t="s">
        <v>125</v>
      </c>
      <c r="N135" s="18" t="s">
        <v>125</v>
      </c>
      <c r="O135" s="18"/>
      <c r="P135" s="19" t="n">
        <v>46071.375</v>
      </c>
      <c r="Q135" s="19" t="n">
        <v>46071.625</v>
      </c>
      <c r="R135" s="19" t="n">
        <v>46071.9583333333</v>
      </c>
      <c r="S135" s="20" t="n">
        <f aca="false">ROUND((Q135-P135)*24,4)</f>
        <v>6</v>
      </c>
      <c r="T135" s="18" t="str">
        <f aca="false">TEXT(P135,"YYYY-MM")</f>
        <v>2026-02</v>
      </c>
      <c r="U135" s="18" t="n">
        <f aca="false">RANK(S135,$S$2:$S$670)+COUNTIF($S$2:S135,S135)-1</f>
        <v>207</v>
      </c>
      <c r="V135" s="20" t="n">
        <f aca="false">ROUND((R135-Q135)*24,4)</f>
        <v>8</v>
      </c>
      <c r="W135" s="20" t="n">
        <f aca="false">ROUND((R135-P135)*24,4)</f>
        <v>14</v>
      </c>
      <c r="X135" s="18" t="str">
        <f aca="false">TEXT(P135,"dddd")</f>
        <v>Wednesday</v>
      </c>
      <c r="Y135" s="18" t="n">
        <f aca="false">HOUR(Q135)</f>
        <v>15</v>
      </c>
    </row>
    <row r="136" customFormat="false" ht="15" hidden="false" customHeight="false" outlineLevel="0" collapsed="false">
      <c r="A136" s="18" t="s">
        <v>34</v>
      </c>
      <c r="B136" s="18" t="s">
        <v>240</v>
      </c>
      <c r="C136" s="18" t="s">
        <v>241</v>
      </c>
      <c r="D136" s="18" t="s">
        <v>50</v>
      </c>
      <c r="E136" s="18" t="s">
        <v>185</v>
      </c>
      <c r="F136" s="18" t="n">
        <v>2602</v>
      </c>
      <c r="G136" s="18" t="s">
        <v>125</v>
      </c>
      <c r="H136" s="18" t="s">
        <v>260</v>
      </c>
      <c r="I136" s="18" t="s">
        <v>20</v>
      </c>
      <c r="J136" s="18" t="s">
        <v>13</v>
      </c>
      <c r="K136" s="18" t="s">
        <v>165</v>
      </c>
      <c r="L136" s="18" t="s">
        <v>125</v>
      </c>
      <c r="M136" s="18" t="s">
        <v>125</v>
      </c>
      <c r="N136" s="18" t="s">
        <v>125</v>
      </c>
      <c r="O136" s="18"/>
      <c r="P136" s="19" t="n">
        <v>46071.8368055556</v>
      </c>
      <c r="Q136" s="19" t="n">
        <v>46071.8583333333</v>
      </c>
      <c r="R136" s="19" t="n">
        <v>46072.25</v>
      </c>
      <c r="S136" s="20" t="n">
        <f aca="false">ROUND((Q136-P136)*24,4)</f>
        <v>0.5167</v>
      </c>
      <c r="T136" s="18" t="str">
        <f aca="false">TEXT(P136,"YYYY-MM")</f>
        <v>2026-02</v>
      </c>
      <c r="U136" s="18" t="n">
        <f aca="false">RANK(S136,$S$2:$S$670)+COUNTIF($S$2:S136,S136)-1</f>
        <v>604</v>
      </c>
      <c r="V136" s="20" t="n">
        <f aca="false">ROUND((R136-Q136)*24,4)</f>
        <v>9.4</v>
      </c>
      <c r="W136" s="20" t="n">
        <f aca="false">ROUND((R136-P136)*24,4)</f>
        <v>9.9167</v>
      </c>
      <c r="X136" s="18" t="str">
        <f aca="false">TEXT(P136,"dddd")</f>
        <v>Wednesday</v>
      </c>
      <c r="Y136" s="18" t="n">
        <f aca="false">HOUR(Q136)</f>
        <v>20</v>
      </c>
    </row>
    <row r="137" customFormat="false" ht="15" hidden="false" customHeight="false" outlineLevel="0" collapsed="false">
      <c r="A137" s="18" t="s">
        <v>33</v>
      </c>
      <c r="B137" s="18" t="s">
        <v>246</v>
      </c>
      <c r="C137" s="18" t="s">
        <v>247</v>
      </c>
      <c r="D137" s="18" t="s">
        <v>51</v>
      </c>
      <c r="E137" s="18" t="s">
        <v>185</v>
      </c>
      <c r="F137" s="18" t="n">
        <v>142</v>
      </c>
      <c r="G137" s="18" t="s">
        <v>125</v>
      </c>
      <c r="H137" s="18" t="s">
        <v>264</v>
      </c>
      <c r="I137" s="18" t="s">
        <v>23</v>
      </c>
      <c r="J137" s="18" t="s">
        <v>13</v>
      </c>
      <c r="K137" s="18" t="s">
        <v>165</v>
      </c>
      <c r="L137" s="18" t="s">
        <v>125</v>
      </c>
      <c r="M137" s="18" t="s">
        <v>125</v>
      </c>
      <c r="N137" s="18" t="s">
        <v>125</v>
      </c>
      <c r="O137" s="18"/>
      <c r="P137" s="19" t="n">
        <v>46071.875</v>
      </c>
      <c r="Q137" s="19" t="n">
        <v>46072.4583333333</v>
      </c>
      <c r="R137" s="19" t="n">
        <v>46072.7083333333</v>
      </c>
      <c r="S137" s="20" t="n">
        <f aca="false">ROUND((Q137-P137)*24,4)</f>
        <v>14</v>
      </c>
      <c r="T137" s="18" t="str">
        <f aca="false">TEXT(P137,"YYYY-MM")</f>
        <v>2026-02</v>
      </c>
      <c r="U137" s="18" t="n">
        <f aca="false">RANK(S137,$S$2:$S$670)+COUNTIF($S$2:S137,S137)-1</f>
        <v>90</v>
      </c>
      <c r="V137" s="20" t="n">
        <f aca="false">ROUND((R137-Q137)*24,4)</f>
        <v>6</v>
      </c>
      <c r="W137" s="20" t="n">
        <f aca="false">ROUND((R137-P137)*24,4)</f>
        <v>20</v>
      </c>
      <c r="X137" s="18" t="str">
        <f aca="false">TEXT(P137,"dddd")</f>
        <v>Wednesday</v>
      </c>
      <c r="Y137" s="18" t="n">
        <f aca="false">HOUR(Q137)</f>
        <v>11</v>
      </c>
    </row>
    <row r="138" customFormat="false" ht="15" hidden="false" customHeight="false" outlineLevel="0" collapsed="false">
      <c r="A138" s="18" t="s">
        <v>36</v>
      </c>
      <c r="B138" s="18" t="s">
        <v>265</v>
      </c>
      <c r="C138" s="18" t="s">
        <v>266</v>
      </c>
      <c r="D138" s="18" t="s">
        <v>47</v>
      </c>
      <c r="E138" s="18" t="s">
        <v>163</v>
      </c>
      <c r="F138" s="18" t="n">
        <v>2601</v>
      </c>
      <c r="G138" s="18" t="s">
        <v>125</v>
      </c>
      <c r="H138" s="18" t="s">
        <v>231</v>
      </c>
      <c r="I138" s="18" t="s">
        <v>17</v>
      </c>
      <c r="J138" s="18" t="s">
        <v>12</v>
      </c>
      <c r="K138" s="18" t="s">
        <v>13</v>
      </c>
      <c r="L138" s="18" t="s">
        <v>125</v>
      </c>
      <c r="M138" s="18" t="s">
        <v>125</v>
      </c>
      <c r="N138" s="18" t="s">
        <v>125</v>
      </c>
      <c r="O138" s="18"/>
      <c r="P138" s="19" t="n">
        <v>46072.0416666667</v>
      </c>
      <c r="Q138" s="19" t="n">
        <v>46073.2916666667</v>
      </c>
      <c r="R138" s="19" t="n">
        <v>46074.2916666667</v>
      </c>
      <c r="S138" s="20" t="n">
        <f aca="false">ROUND((Q138-P138)*24,4)</f>
        <v>30</v>
      </c>
      <c r="T138" s="18" t="str">
        <f aca="false">TEXT(P138,"YYYY-MM")</f>
        <v>2026-02</v>
      </c>
      <c r="U138" s="18" t="n">
        <f aca="false">RANK(S138,$S$2:$S$670)+COUNTIF($S$2:S138,S138)-1</f>
        <v>21</v>
      </c>
      <c r="V138" s="20" t="n">
        <f aca="false">ROUND((R138-Q138)*24,4)</f>
        <v>24</v>
      </c>
      <c r="W138" s="20" t="n">
        <f aca="false">ROUND((R138-P138)*24,4)</f>
        <v>54</v>
      </c>
      <c r="X138" s="18" t="str">
        <f aca="false">TEXT(P138,"dddd")</f>
        <v>Thursday</v>
      </c>
      <c r="Y138" s="18" t="n">
        <f aca="false">HOUR(Q138)</f>
        <v>7</v>
      </c>
    </row>
    <row r="139" customFormat="false" ht="15" hidden="false" customHeight="false" outlineLevel="0" collapsed="false">
      <c r="A139" s="18" t="s">
        <v>39</v>
      </c>
      <c r="B139" s="18" t="s">
        <v>192</v>
      </c>
      <c r="C139" s="18" t="s">
        <v>193</v>
      </c>
      <c r="D139" s="18" t="s">
        <v>46</v>
      </c>
      <c r="E139" s="18" t="s">
        <v>176</v>
      </c>
      <c r="F139" s="18" t="n">
        <v>2601</v>
      </c>
      <c r="G139" s="18" t="s">
        <v>125</v>
      </c>
      <c r="H139" s="18" t="s">
        <v>231</v>
      </c>
      <c r="I139" s="18" t="s">
        <v>21</v>
      </c>
      <c r="J139" s="18" t="s">
        <v>13</v>
      </c>
      <c r="K139" s="18" t="s">
        <v>216</v>
      </c>
      <c r="L139" s="18" t="s">
        <v>125</v>
      </c>
      <c r="M139" s="18" t="s">
        <v>125</v>
      </c>
      <c r="N139" s="18" t="s">
        <v>125</v>
      </c>
      <c r="O139" s="18"/>
      <c r="P139" s="19" t="n">
        <v>46072.9583333333</v>
      </c>
      <c r="Q139" s="19" t="n">
        <v>46072.9791666667</v>
      </c>
      <c r="R139" s="19" t="n">
        <v>46073.8333333333</v>
      </c>
      <c r="S139" s="20" t="n">
        <f aca="false">ROUND((Q139-P139)*24,4)</f>
        <v>0.5</v>
      </c>
      <c r="T139" s="18" t="str">
        <f aca="false">TEXT(P139,"YYYY-MM")</f>
        <v>2026-02</v>
      </c>
      <c r="U139" s="18" t="n">
        <f aca="false">RANK(S139,$S$2:$S$670)+COUNTIF($S$2:S139,S139)-1</f>
        <v>607</v>
      </c>
      <c r="V139" s="20" t="n">
        <f aca="false">ROUND((R139-Q139)*24,4)</f>
        <v>20.5</v>
      </c>
      <c r="W139" s="20" t="n">
        <f aca="false">ROUND((R139-P139)*24,4)</f>
        <v>21</v>
      </c>
      <c r="X139" s="18" t="str">
        <f aca="false">TEXT(P139,"dddd")</f>
        <v>Thursday</v>
      </c>
      <c r="Y139" s="18" t="n">
        <f aca="false">HOUR(Q139)</f>
        <v>23</v>
      </c>
    </row>
    <row r="140" customFormat="false" ht="15" hidden="false" customHeight="false" outlineLevel="0" collapsed="false">
      <c r="A140" s="18" t="s">
        <v>33</v>
      </c>
      <c r="B140" s="18" t="s">
        <v>174</v>
      </c>
      <c r="C140" s="18" t="s">
        <v>175</v>
      </c>
      <c r="D140" s="18" t="s">
        <v>49</v>
      </c>
      <c r="E140" s="18" t="s">
        <v>163</v>
      </c>
      <c r="F140" s="18" t="n">
        <v>2602</v>
      </c>
      <c r="G140" s="18" t="s">
        <v>127</v>
      </c>
      <c r="H140" s="18" t="s">
        <v>259</v>
      </c>
      <c r="I140" s="18" t="s">
        <v>23</v>
      </c>
      <c r="J140" s="18" t="s">
        <v>13</v>
      </c>
      <c r="K140" s="18" t="s">
        <v>12</v>
      </c>
      <c r="L140" s="18" t="s">
        <v>125</v>
      </c>
      <c r="M140" s="18" t="s">
        <v>125</v>
      </c>
      <c r="N140" s="18" t="s">
        <v>125</v>
      </c>
      <c r="O140" s="18"/>
      <c r="P140" s="19" t="n">
        <v>46073.5833333333</v>
      </c>
      <c r="Q140" s="19" t="n">
        <v>46073.625</v>
      </c>
      <c r="R140" s="19" t="n">
        <v>46073.875</v>
      </c>
      <c r="S140" s="20" t="n">
        <f aca="false">ROUND((Q140-P140)*24,4)</f>
        <v>1</v>
      </c>
      <c r="T140" s="18" t="str">
        <f aca="false">TEXT(P140,"YYYY-MM")</f>
        <v>2026-02</v>
      </c>
      <c r="U140" s="18" t="n">
        <f aca="false">RANK(S140,$S$2:$S$670)+COUNTIF($S$2:S140,S140)-1</f>
        <v>410</v>
      </c>
      <c r="V140" s="20" t="n">
        <f aca="false">ROUND((R140-Q140)*24,4)</f>
        <v>6</v>
      </c>
      <c r="W140" s="20" t="n">
        <f aca="false">ROUND((R140-P140)*24,4)</f>
        <v>7</v>
      </c>
      <c r="X140" s="18" t="str">
        <f aca="false">TEXT(P140,"dddd")</f>
        <v>Friday</v>
      </c>
      <c r="Y140" s="18" t="n">
        <f aca="false">HOUR(Q140)</f>
        <v>15</v>
      </c>
    </row>
    <row r="141" customFormat="false" ht="15" hidden="false" customHeight="false" outlineLevel="0" collapsed="false">
      <c r="A141" s="18" t="s">
        <v>37</v>
      </c>
      <c r="B141" s="18" t="s">
        <v>242</v>
      </c>
      <c r="C141" s="18" t="s">
        <v>243</v>
      </c>
      <c r="D141" s="18" t="s">
        <v>46</v>
      </c>
      <c r="E141" s="18" t="s">
        <v>163</v>
      </c>
      <c r="F141" s="18" t="n">
        <v>2602</v>
      </c>
      <c r="G141" s="18" t="s">
        <v>127</v>
      </c>
      <c r="H141" s="18" t="s">
        <v>259</v>
      </c>
      <c r="I141" s="18" t="s">
        <v>20</v>
      </c>
      <c r="J141" s="18" t="s">
        <v>13</v>
      </c>
      <c r="K141" s="18" t="s">
        <v>12</v>
      </c>
      <c r="L141" s="18" t="s">
        <v>125</v>
      </c>
      <c r="M141" s="18" t="s">
        <v>125</v>
      </c>
      <c r="N141" s="18" t="s">
        <v>125</v>
      </c>
      <c r="O141" s="18"/>
      <c r="P141" s="19" t="n">
        <v>46073.875</v>
      </c>
      <c r="Q141" s="19" t="n">
        <v>46073.9166666667</v>
      </c>
      <c r="R141" s="19" t="n">
        <v>46074.4166666667</v>
      </c>
      <c r="S141" s="20" t="n">
        <f aca="false">ROUND((Q141-P141)*24,4)</f>
        <v>1</v>
      </c>
      <c r="T141" s="18" t="str">
        <f aca="false">TEXT(P141,"YYYY-MM")</f>
        <v>2026-02</v>
      </c>
      <c r="U141" s="18" t="n">
        <f aca="false">RANK(S141,$S$2:$S$670)+COUNTIF($S$2:S141,S141)-1</f>
        <v>411</v>
      </c>
      <c r="V141" s="20" t="n">
        <f aca="false">ROUND((R141-Q141)*24,4)</f>
        <v>12</v>
      </c>
      <c r="W141" s="20" t="n">
        <f aca="false">ROUND((R141-P141)*24,4)</f>
        <v>13</v>
      </c>
      <c r="X141" s="18" t="str">
        <f aca="false">TEXT(P141,"dddd")</f>
        <v>Friday</v>
      </c>
      <c r="Y141" s="18" t="n">
        <f aca="false">HOUR(Q141)</f>
        <v>22</v>
      </c>
    </row>
    <row r="142" customFormat="false" ht="15" hidden="false" customHeight="false" outlineLevel="0" collapsed="false">
      <c r="A142" s="18" t="s">
        <v>33</v>
      </c>
      <c r="B142" s="18" t="s">
        <v>174</v>
      </c>
      <c r="C142" s="18" t="s">
        <v>175</v>
      </c>
      <c r="D142" s="18" t="s">
        <v>49</v>
      </c>
      <c r="E142" s="18" t="s">
        <v>176</v>
      </c>
      <c r="F142" s="18" t="n">
        <v>2602</v>
      </c>
      <c r="G142" s="18" t="s">
        <v>125</v>
      </c>
      <c r="H142" s="18" t="s">
        <v>260</v>
      </c>
      <c r="I142" s="18" t="s">
        <v>18</v>
      </c>
      <c r="J142" s="18" t="s">
        <v>12</v>
      </c>
      <c r="K142" s="18" t="s">
        <v>13</v>
      </c>
      <c r="L142" s="18" t="s">
        <v>125</v>
      </c>
      <c r="M142" s="18" t="s">
        <v>125</v>
      </c>
      <c r="N142" s="18" t="s">
        <v>125</v>
      </c>
      <c r="O142" s="18"/>
      <c r="P142" s="19" t="n">
        <v>46073.9583333333</v>
      </c>
      <c r="Q142" s="19" t="n">
        <v>46074.2291666667</v>
      </c>
      <c r="R142" s="19" t="n">
        <v>46074.7916666667</v>
      </c>
      <c r="S142" s="20" t="n">
        <f aca="false">ROUND((Q142-P142)*24,4)</f>
        <v>6.5</v>
      </c>
      <c r="T142" s="18" t="str">
        <f aca="false">TEXT(P142,"YYYY-MM")</f>
        <v>2026-02</v>
      </c>
      <c r="U142" s="18" t="n">
        <f aca="false">RANK(S142,$S$2:$S$670)+COUNTIF($S$2:S142,S142)-1</f>
        <v>200</v>
      </c>
      <c r="V142" s="20" t="n">
        <f aca="false">ROUND((R142-Q142)*24,4)</f>
        <v>13.5</v>
      </c>
      <c r="W142" s="20" t="n">
        <f aca="false">ROUND((R142-P142)*24,4)</f>
        <v>20</v>
      </c>
      <c r="X142" s="18" t="str">
        <f aca="false">TEXT(P142,"dddd")</f>
        <v>Friday</v>
      </c>
      <c r="Y142" s="18" t="n">
        <f aca="false">HOUR(Q142)</f>
        <v>5</v>
      </c>
    </row>
    <row r="143" customFormat="false" ht="15" hidden="false" customHeight="false" outlineLevel="0" collapsed="false">
      <c r="A143" s="18" t="s">
        <v>35</v>
      </c>
      <c r="B143" s="18" t="s">
        <v>166</v>
      </c>
      <c r="C143" s="18" t="s">
        <v>167</v>
      </c>
      <c r="D143" s="18" t="s">
        <v>47</v>
      </c>
      <c r="E143" s="18" t="s">
        <v>198</v>
      </c>
      <c r="F143" s="18" t="n">
        <v>2602</v>
      </c>
      <c r="G143" s="18" t="s">
        <v>127</v>
      </c>
      <c r="H143" s="18" t="s">
        <v>259</v>
      </c>
      <c r="I143" s="18" t="s">
        <v>28</v>
      </c>
      <c r="J143" s="18" t="s">
        <v>13</v>
      </c>
      <c r="K143" s="18" t="s">
        <v>12</v>
      </c>
      <c r="L143" s="18" t="s">
        <v>125</v>
      </c>
      <c r="M143" s="18" t="s">
        <v>125</v>
      </c>
      <c r="N143" s="18" t="s">
        <v>144</v>
      </c>
      <c r="O143" s="18"/>
      <c r="P143" s="19" t="n">
        <v>46074.3333333333</v>
      </c>
      <c r="Q143" s="19" t="n">
        <v>46074.375</v>
      </c>
      <c r="R143" s="19" t="n">
        <v>46074.7916666667</v>
      </c>
      <c r="S143" s="20" t="n">
        <f aca="false">ROUND((Q143-P143)*24,4)</f>
        <v>1</v>
      </c>
      <c r="T143" s="18" t="str">
        <f aca="false">TEXT(P143,"YYYY-MM")</f>
        <v>2026-02</v>
      </c>
      <c r="U143" s="18" t="n">
        <f aca="false">RANK(S143,$S$2:$S$670)+COUNTIF($S$2:S143,S143)-1</f>
        <v>412</v>
      </c>
      <c r="V143" s="20" t="n">
        <f aca="false">ROUND((R143-Q143)*24,4)</f>
        <v>10</v>
      </c>
      <c r="W143" s="20" t="n">
        <f aca="false">ROUND((R143-P143)*24,4)</f>
        <v>11</v>
      </c>
      <c r="X143" s="18" t="str">
        <f aca="false">TEXT(P143,"dddd")</f>
        <v>Saturday</v>
      </c>
      <c r="Y143" s="18" t="n">
        <f aca="false">HOUR(Q143)</f>
        <v>9</v>
      </c>
    </row>
    <row r="144" customFormat="false" ht="15" hidden="false" customHeight="false" outlineLevel="0" collapsed="false">
      <c r="A144" s="18" t="s">
        <v>37</v>
      </c>
      <c r="B144" s="18" t="s">
        <v>242</v>
      </c>
      <c r="C144" s="18" t="s">
        <v>243</v>
      </c>
      <c r="D144" s="18" t="s">
        <v>46</v>
      </c>
      <c r="E144" s="18" t="s">
        <v>176</v>
      </c>
      <c r="F144" s="18" t="n">
        <v>2602</v>
      </c>
      <c r="G144" s="18" t="s">
        <v>125</v>
      </c>
      <c r="H144" s="18" t="s">
        <v>260</v>
      </c>
      <c r="I144" s="18" t="s">
        <v>19</v>
      </c>
      <c r="J144" s="18" t="s">
        <v>12</v>
      </c>
      <c r="K144" s="18" t="s">
        <v>13</v>
      </c>
      <c r="L144" s="18" t="s">
        <v>125</v>
      </c>
      <c r="M144" s="18" t="s">
        <v>125</v>
      </c>
      <c r="N144" s="18" t="s">
        <v>125</v>
      </c>
      <c r="O144" s="18"/>
      <c r="P144" s="19" t="n">
        <v>46074.5</v>
      </c>
      <c r="Q144" s="19" t="n">
        <v>46075.3333333333</v>
      </c>
      <c r="R144" s="19" t="n">
        <v>46076.75</v>
      </c>
      <c r="S144" s="20" t="n">
        <f aca="false">ROUND((Q144-P144)*24,4)</f>
        <v>20</v>
      </c>
      <c r="T144" s="18" t="str">
        <f aca="false">TEXT(P144,"YYYY-MM")</f>
        <v>2026-02</v>
      </c>
      <c r="U144" s="18" t="n">
        <f aca="false">RANK(S144,$S$2:$S$670)+COUNTIF($S$2:S144,S144)-1</f>
        <v>46</v>
      </c>
      <c r="V144" s="20" t="n">
        <f aca="false">ROUND((R144-Q144)*24,4)</f>
        <v>34</v>
      </c>
      <c r="W144" s="20" t="n">
        <f aca="false">ROUND((R144-P144)*24,4)</f>
        <v>54</v>
      </c>
      <c r="X144" s="18" t="str">
        <f aca="false">TEXT(P144,"dddd")</f>
        <v>Saturday</v>
      </c>
      <c r="Y144" s="18" t="n">
        <f aca="false">HOUR(Q144)</f>
        <v>8</v>
      </c>
    </row>
    <row r="145" customFormat="false" ht="15" hidden="false" customHeight="false" outlineLevel="0" collapsed="false">
      <c r="A145" s="18" t="s">
        <v>36</v>
      </c>
      <c r="B145" s="18" t="s">
        <v>265</v>
      </c>
      <c r="C145" s="18" t="s">
        <v>266</v>
      </c>
      <c r="D145" s="18" t="s">
        <v>47</v>
      </c>
      <c r="E145" s="18" t="s">
        <v>176</v>
      </c>
      <c r="F145" s="18" t="n">
        <v>2601</v>
      </c>
      <c r="G145" s="18" t="s">
        <v>125</v>
      </c>
      <c r="H145" s="18" t="s">
        <v>231</v>
      </c>
      <c r="I145" s="18" t="s">
        <v>23</v>
      </c>
      <c r="J145" s="18" t="s">
        <v>13</v>
      </c>
      <c r="K145" s="18" t="s">
        <v>186</v>
      </c>
      <c r="L145" s="18" t="s">
        <v>125</v>
      </c>
      <c r="M145" s="18" t="s">
        <v>125</v>
      </c>
      <c r="N145" s="18" t="s">
        <v>125</v>
      </c>
      <c r="O145" s="18"/>
      <c r="P145" s="19" t="n">
        <v>46074.7</v>
      </c>
      <c r="Q145" s="19" t="n">
        <v>46074.7208333333</v>
      </c>
      <c r="R145" s="19" t="n">
        <v>46075.1416666667</v>
      </c>
      <c r="S145" s="20" t="n">
        <f aca="false">ROUND((Q145-P145)*24,4)</f>
        <v>0.5</v>
      </c>
      <c r="T145" s="18" t="str">
        <f aca="false">TEXT(P145,"YYYY-MM")</f>
        <v>2026-02</v>
      </c>
      <c r="U145" s="18" t="n">
        <f aca="false">RANK(S145,$S$2:$S$670)+COUNTIF($S$2:S145,S145)-1</f>
        <v>608</v>
      </c>
      <c r="V145" s="20" t="n">
        <f aca="false">ROUND((R145-Q145)*24,4)</f>
        <v>10.1</v>
      </c>
      <c r="W145" s="20" t="n">
        <f aca="false">ROUND((R145-P145)*24,4)</f>
        <v>10.6</v>
      </c>
      <c r="X145" s="18" t="str">
        <f aca="false">TEXT(P145,"dddd")</f>
        <v>Saturday</v>
      </c>
      <c r="Y145" s="18" t="n">
        <f aca="false">HOUR(Q145)</f>
        <v>17</v>
      </c>
    </row>
    <row r="146" customFormat="false" ht="15" hidden="false" customHeight="false" outlineLevel="0" collapsed="false">
      <c r="A146" s="18" t="s">
        <v>35</v>
      </c>
      <c r="B146" s="18" t="s">
        <v>166</v>
      </c>
      <c r="C146" s="18" t="s">
        <v>167</v>
      </c>
      <c r="D146" s="18" t="s">
        <v>47</v>
      </c>
      <c r="E146" s="18" t="s">
        <v>168</v>
      </c>
      <c r="F146" s="18" t="n">
        <v>2602</v>
      </c>
      <c r="G146" s="18" t="s">
        <v>125</v>
      </c>
      <c r="H146" s="18" t="s">
        <v>260</v>
      </c>
      <c r="I146" s="18" t="s">
        <v>19</v>
      </c>
      <c r="J146" s="18" t="s">
        <v>12</v>
      </c>
      <c r="K146" s="18" t="s">
        <v>13</v>
      </c>
      <c r="L146" s="18" t="s">
        <v>125</v>
      </c>
      <c r="M146" s="18" t="s">
        <v>125</v>
      </c>
      <c r="N146" s="18" t="s">
        <v>125</v>
      </c>
      <c r="O146" s="18"/>
      <c r="P146" s="19" t="n">
        <v>46074.875</v>
      </c>
      <c r="Q146" s="19" t="n">
        <v>46075.375</v>
      </c>
      <c r="R146" s="19" t="n">
        <v>46076.7083333333</v>
      </c>
      <c r="S146" s="20" t="n">
        <f aca="false">ROUND((Q146-P146)*24,4)</f>
        <v>12</v>
      </c>
      <c r="T146" s="18" t="str">
        <f aca="false">TEXT(P146,"YYYY-MM")</f>
        <v>2026-02</v>
      </c>
      <c r="U146" s="18" t="n">
        <f aca="false">RANK(S146,$S$2:$S$670)+COUNTIF($S$2:S146,S146)-1</f>
        <v>116</v>
      </c>
      <c r="V146" s="20" t="n">
        <f aca="false">ROUND((R146-Q146)*24,4)</f>
        <v>32</v>
      </c>
      <c r="W146" s="20" t="n">
        <f aca="false">ROUND((R146-P146)*24,4)</f>
        <v>44</v>
      </c>
      <c r="X146" s="18" t="str">
        <f aca="false">TEXT(P146,"dddd")</f>
        <v>Saturday</v>
      </c>
      <c r="Y146" s="18" t="n">
        <f aca="false">HOUR(Q146)</f>
        <v>9</v>
      </c>
    </row>
    <row r="147" customFormat="false" ht="15" hidden="false" customHeight="false" outlineLevel="0" collapsed="false">
      <c r="A147" s="18" t="s">
        <v>33</v>
      </c>
      <c r="B147" s="18" t="s">
        <v>174</v>
      </c>
      <c r="C147" s="18" t="s">
        <v>175</v>
      </c>
      <c r="D147" s="18" t="s">
        <v>49</v>
      </c>
      <c r="E147" s="18" t="s">
        <v>185</v>
      </c>
      <c r="F147" s="18" t="n">
        <v>2602</v>
      </c>
      <c r="G147" s="18" t="s">
        <v>125</v>
      </c>
      <c r="H147" s="18" t="s">
        <v>260</v>
      </c>
      <c r="I147" s="18" t="s">
        <v>23</v>
      </c>
      <c r="J147" s="18" t="s">
        <v>13</v>
      </c>
      <c r="K147" s="18" t="s">
        <v>165</v>
      </c>
      <c r="L147" s="18" t="s">
        <v>125</v>
      </c>
      <c r="M147" s="18" t="s">
        <v>125</v>
      </c>
      <c r="N147" s="18" t="s">
        <v>125</v>
      </c>
      <c r="O147" s="18"/>
      <c r="P147" s="19" t="n">
        <v>46074.9583333333</v>
      </c>
      <c r="Q147" s="19" t="n">
        <v>46075.7083333333</v>
      </c>
      <c r="R147" s="19" t="n">
        <v>46076.0833333333</v>
      </c>
      <c r="S147" s="20" t="n">
        <f aca="false">ROUND((Q147-P147)*24,4)</f>
        <v>18</v>
      </c>
      <c r="T147" s="18" t="str">
        <f aca="false">TEXT(P147,"YYYY-MM")</f>
        <v>2026-02</v>
      </c>
      <c r="U147" s="18" t="n">
        <f aca="false">RANK(S147,$S$2:$S$670)+COUNTIF($S$2:S147,S147)-1</f>
        <v>59</v>
      </c>
      <c r="V147" s="20" t="n">
        <f aca="false">ROUND((R147-Q147)*24,4)</f>
        <v>9</v>
      </c>
      <c r="W147" s="20" t="n">
        <f aca="false">ROUND((R147-P147)*24,4)</f>
        <v>27</v>
      </c>
      <c r="X147" s="18" t="str">
        <f aca="false">TEXT(P147,"dddd")</f>
        <v>Saturday</v>
      </c>
      <c r="Y147" s="18" t="n">
        <f aca="false">HOUR(Q147)</f>
        <v>17</v>
      </c>
    </row>
    <row r="148" customFormat="false" ht="15" hidden="false" customHeight="false" outlineLevel="0" collapsed="false">
      <c r="A148" s="18" t="s">
        <v>32</v>
      </c>
      <c r="B148" s="18" t="s">
        <v>188</v>
      </c>
      <c r="C148" s="18" t="s">
        <v>189</v>
      </c>
      <c r="D148" s="18" t="s">
        <v>46</v>
      </c>
      <c r="E148" s="18" t="s">
        <v>168</v>
      </c>
      <c r="F148" s="18" t="n">
        <v>2602</v>
      </c>
      <c r="G148" s="18" t="s">
        <v>127</v>
      </c>
      <c r="H148" s="18" t="s">
        <v>259</v>
      </c>
      <c r="I148" s="18" t="s">
        <v>23</v>
      </c>
      <c r="J148" s="18" t="s">
        <v>13</v>
      </c>
      <c r="K148" s="18" t="s">
        <v>12</v>
      </c>
      <c r="L148" s="18" t="s">
        <v>125</v>
      </c>
      <c r="M148" s="18" t="s">
        <v>125</v>
      </c>
      <c r="N148" s="18" t="s">
        <v>125</v>
      </c>
      <c r="O148" s="18"/>
      <c r="P148" s="19" t="n">
        <v>46075.2069444444</v>
      </c>
      <c r="Q148" s="19" t="n">
        <v>46075.2291666667</v>
      </c>
      <c r="R148" s="19" t="n">
        <v>46075.6291666667</v>
      </c>
      <c r="S148" s="20" t="n">
        <f aca="false">ROUND((Q148-P148)*24,4)</f>
        <v>0.5333</v>
      </c>
      <c r="T148" s="18" t="str">
        <f aca="false">TEXT(P148,"YYYY-MM")</f>
        <v>2026-02</v>
      </c>
      <c r="U148" s="18" t="n">
        <f aca="false">RANK(S148,$S$2:$S$670)+COUNTIF($S$2:S148,S148)-1</f>
        <v>603</v>
      </c>
      <c r="V148" s="20" t="n">
        <f aca="false">ROUND((R148-Q148)*24,4)</f>
        <v>9.6</v>
      </c>
      <c r="W148" s="20" t="n">
        <f aca="false">ROUND((R148-P148)*24,4)</f>
        <v>10.1333</v>
      </c>
      <c r="X148" s="18" t="str">
        <f aca="false">TEXT(P148,"dddd")</f>
        <v>Sunday</v>
      </c>
      <c r="Y148" s="18" t="n">
        <f aca="false">HOUR(Q148)</f>
        <v>5</v>
      </c>
    </row>
    <row r="149" customFormat="false" ht="15" hidden="false" customHeight="false" outlineLevel="0" collapsed="false">
      <c r="A149" s="18" t="s">
        <v>32</v>
      </c>
      <c r="B149" s="18" t="s">
        <v>188</v>
      </c>
      <c r="C149" s="18" t="s">
        <v>189</v>
      </c>
      <c r="D149" s="18" t="s">
        <v>46</v>
      </c>
      <c r="E149" s="18" t="s">
        <v>163</v>
      </c>
      <c r="F149" s="18" t="n">
        <v>2602</v>
      </c>
      <c r="G149" s="18" t="s">
        <v>125</v>
      </c>
      <c r="H149" s="18" t="s">
        <v>260</v>
      </c>
      <c r="I149" s="18" t="s">
        <v>17</v>
      </c>
      <c r="J149" s="18" t="s">
        <v>12</v>
      </c>
      <c r="K149" s="18" t="s">
        <v>13</v>
      </c>
      <c r="L149" s="18" t="s">
        <v>125</v>
      </c>
      <c r="M149" s="18" t="s">
        <v>125</v>
      </c>
      <c r="N149" s="18" t="s">
        <v>125</v>
      </c>
      <c r="O149" s="18"/>
      <c r="P149" s="19" t="n">
        <v>46075.7402777778</v>
      </c>
      <c r="Q149" s="19" t="n">
        <v>46075.8458333333</v>
      </c>
      <c r="R149" s="19" t="n">
        <v>46077.2416666667</v>
      </c>
      <c r="S149" s="20" t="n">
        <f aca="false">ROUND((Q149-P149)*24,4)</f>
        <v>2.5333</v>
      </c>
      <c r="T149" s="18" t="str">
        <f aca="false">TEXT(P149,"YYYY-MM")</f>
        <v>2026-02</v>
      </c>
      <c r="U149" s="18" t="n">
        <f aca="false">RANK(S149,$S$2:$S$670)+COUNTIF($S$2:S149,S149)-1</f>
        <v>306</v>
      </c>
      <c r="V149" s="20" t="n">
        <f aca="false">ROUND((R149-Q149)*24,4)</f>
        <v>33.5</v>
      </c>
      <c r="W149" s="20" t="n">
        <f aca="false">ROUND((R149-P149)*24,4)</f>
        <v>36.0333</v>
      </c>
      <c r="X149" s="18" t="str">
        <f aca="false">TEXT(P149,"dddd")</f>
        <v>Sunday</v>
      </c>
      <c r="Y149" s="18" t="n">
        <f aca="false">HOUR(Q149)</f>
        <v>20</v>
      </c>
    </row>
    <row r="150" customFormat="false" ht="15" hidden="false" customHeight="false" outlineLevel="0" collapsed="false">
      <c r="A150" s="18" t="s">
        <v>36</v>
      </c>
      <c r="B150" s="18" t="s">
        <v>267</v>
      </c>
      <c r="C150" s="18" t="s">
        <v>268</v>
      </c>
      <c r="D150" s="18" t="s">
        <v>46</v>
      </c>
      <c r="E150" s="18" t="s">
        <v>168</v>
      </c>
      <c r="F150" s="18" t="n">
        <v>2606</v>
      </c>
      <c r="G150" s="18" t="s">
        <v>127</v>
      </c>
      <c r="H150" s="18" t="s">
        <v>269</v>
      </c>
      <c r="I150" s="18" t="s">
        <v>26</v>
      </c>
      <c r="J150" s="18" t="s">
        <v>13</v>
      </c>
      <c r="K150" s="18" t="s">
        <v>12</v>
      </c>
      <c r="L150" s="18" t="s">
        <v>125</v>
      </c>
      <c r="M150" s="18" t="s">
        <v>125</v>
      </c>
      <c r="N150" s="18" t="s">
        <v>125</v>
      </c>
      <c r="O150" s="18"/>
      <c r="P150" s="19" t="n">
        <v>46075.875</v>
      </c>
      <c r="Q150" s="19" t="n">
        <v>46075.9166666667</v>
      </c>
      <c r="R150" s="19" t="n">
        <v>46076.0833333333</v>
      </c>
      <c r="S150" s="20" t="n">
        <f aca="false">ROUND((Q150-P150)*24,4)</f>
        <v>1</v>
      </c>
      <c r="T150" s="18" t="str">
        <f aca="false">TEXT(P150,"YYYY-MM")</f>
        <v>2026-02</v>
      </c>
      <c r="U150" s="18" t="n">
        <f aca="false">RANK(S150,$S$2:$S$670)+COUNTIF($S$2:S150,S150)-1</f>
        <v>413</v>
      </c>
      <c r="V150" s="20" t="n">
        <f aca="false">ROUND((R150-Q150)*24,4)</f>
        <v>4</v>
      </c>
      <c r="W150" s="20" t="n">
        <f aca="false">ROUND((R150-P150)*24,4)</f>
        <v>5</v>
      </c>
      <c r="X150" s="18" t="str">
        <f aca="false">TEXT(P150,"dddd")</f>
        <v>Sunday</v>
      </c>
      <c r="Y150" s="18" t="n">
        <f aca="false">HOUR(Q150)</f>
        <v>22</v>
      </c>
    </row>
    <row r="151" customFormat="false" ht="15" hidden="false" customHeight="false" outlineLevel="0" collapsed="false">
      <c r="A151" s="18" t="s">
        <v>36</v>
      </c>
      <c r="B151" s="18" t="s">
        <v>267</v>
      </c>
      <c r="C151" s="18" t="s">
        <v>268</v>
      </c>
      <c r="D151" s="18" t="s">
        <v>46</v>
      </c>
      <c r="E151" s="18" t="s">
        <v>163</v>
      </c>
      <c r="F151" s="18" t="n">
        <v>2606</v>
      </c>
      <c r="G151" s="18" t="s">
        <v>125</v>
      </c>
      <c r="H151" s="18" t="s">
        <v>270</v>
      </c>
      <c r="I151" s="18" t="s">
        <v>17</v>
      </c>
      <c r="J151" s="18" t="s">
        <v>12</v>
      </c>
      <c r="K151" s="18" t="s">
        <v>13</v>
      </c>
      <c r="L151" s="18" t="s">
        <v>125</v>
      </c>
      <c r="M151" s="18" t="s">
        <v>125</v>
      </c>
      <c r="N151" s="18" t="s">
        <v>125</v>
      </c>
      <c r="O151" s="18"/>
      <c r="P151" s="19" t="n">
        <v>46076.1666666667</v>
      </c>
      <c r="Q151" s="19" t="n">
        <v>46076.875</v>
      </c>
      <c r="R151" s="19" t="n">
        <v>46077.8333333333</v>
      </c>
      <c r="S151" s="20" t="n">
        <f aca="false">ROUND((Q151-P151)*24,4)</f>
        <v>17</v>
      </c>
      <c r="T151" s="18" t="str">
        <f aca="false">TEXT(P151,"YYYY-MM")</f>
        <v>2026-02</v>
      </c>
      <c r="U151" s="18" t="n">
        <f aca="false">RANK(S151,$S$2:$S$670)+COUNTIF($S$2:S151,S151)-1</f>
        <v>65</v>
      </c>
      <c r="V151" s="20" t="n">
        <f aca="false">ROUND((R151-Q151)*24,4)</f>
        <v>23</v>
      </c>
      <c r="W151" s="20" t="n">
        <f aca="false">ROUND((R151-P151)*24,4)</f>
        <v>40</v>
      </c>
      <c r="X151" s="18" t="str">
        <f aca="false">TEXT(P151,"dddd")</f>
        <v>Monday</v>
      </c>
      <c r="Y151" s="18" t="n">
        <f aca="false">HOUR(Q151)</f>
        <v>21</v>
      </c>
    </row>
    <row r="152" customFormat="false" ht="15" hidden="false" customHeight="false" outlineLevel="0" collapsed="false">
      <c r="A152" s="18" t="s">
        <v>39</v>
      </c>
      <c r="B152" s="18" t="s">
        <v>238</v>
      </c>
      <c r="C152" s="18" t="s">
        <v>239</v>
      </c>
      <c r="D152" s="18" t="s">
        <v>50</v>
      </c>
      <c r="E152" s="18" t="s">
        <v>176</v>
      </c>
      <c r="F152" s="18" t="n">
        <v>2601</v>
      </c>
      <c r="G152" s="18" t="s">
        <v>125</v>
      </c>
      <c r="H152" s="18" t="s">
        <v>231</v>
      </c>
      <c r="I152" s="18" t="s">
        <v>21</v>
      </c>
      <c r="J152" s="18" t="s">
        <v>13</v>
      </c>
      <c r="K152" s="18" t="s">
        <v>216</v>
      </c>
      <c r="L152" s="18" t="s">
        <v>125</v>
      </c>
      <c r="M152" s="18" t="s">
        <v>125</v>
      </c>
      <c r="N152" s="18" t="s">
        <v>125</v>
      </c>
      <c r="O152" s="18"/>
      <c r="P152" s="19" t="n">
        <v>46076.7291666667</v>
      </c>
      <c r="Q152" s="19" t="n">
        <v>46076.775</v>
      </c>
      <c r="R152" s="19" t="n">
        <v>46077.4166666667</v>
      </c>
      <c r="S152" s="20" t="n">
        <f aca="false">ROUND((Q152-P152)*24,4)</f>
        <v>1.1</v>
      </c>
      <c r="T152" s="18" t="str">
        <f aca="false">TEXT(P152,"YYYY-MM")</f>
        <v>2026-02</v>
      </c>
      <c r="U152" s="18" t="n">
        <f aca="false">RANK(S152,$S$2:$S$670)+COUNTIF($S$2:S152,S152)-1</f>
        <v>367</v>
      </c>
      <c r="V152" s="20" t="n">
        <f aca="false">ROUND((R152-Q152)*24,4)</f>
        <v>15.4</v>
      </c>
      <c r="W152" s="20" t="n">
        <f aca="false">ROUND((R152-P152)*24,4)</f>
        <v>16.5</v>
      </c>
      <c r="X152" s="18" t="str">
        <f aca="false">TEXT(P152,"dddd")</f>
        <v>Monday</v>
      </c>
      <c r="Y152" s="18" t="n">
        <f aca="false">HOUR(Q152)</f>
        <v>18</v>
      </c>
    </row>
    <row r="153" customFormat="false" ht="15" hidden="false" customHeight="false" outlineLevel="0" collapsed="false">
      <c r="A153" s="18" t="s">
        <v>34</v>
      </c>
      <c r="B153" s="18" t="s">
        <v>171</v>
      </c>
      <c r="C153" s="18" t="s">
        <v>172</v>
      </c>
      <c r="D153" s="18" t="s">
        <v>47</v>
      </c>
      <c r="E153" s="18" t="s">
        <v>163</v>
      </c>
      <c r="F153" s="18" t="n">
        <v>2602</v>
      </c>
      <c r="G153" s="18" t="s">
        <v>127</v>
      </c>
      <c r="H153" s="18" t="s">
        <v>259</v>
      </c>
      <c r="I153" s="18" t="s">
        <v>23</v>
      </c>
      <c r="J153" s="18" t="s">
        <v>13</v>
      </c>
      <c r="K153" s="18" t="s">
        <v>12</v>
      </c>
      <c r="L153" s="18" t="s">
        <v>125</v>
      </c>
      <c r="M153" s="18" t="s">
        <v>125</v>
      </c>
      <c r="N153" s="18" t="s">
        <v>125</v>
      </c>
      <c r="O153" s="18"/>
      <c r="P153" s="19" t="n">
        <v>46076.7916666667</v>
      </c>
      <c r="Q153" s="19" t="n">
        <v>46076.8333333333</v>
      </c>
      <c r="R153" s="19" t="n">
        <v>46077.0416666667</v>
      </c>
      <c r="S153" s="20" t="n">
        <f aca="false">ROUND((Q153-P153)*24,4)</f>
        <v>1</v>
      </c>
      <c r="T153" s="18" t="str">
        <f aca="false">TEXT(P153,"YYYY-MM")</f>
        <v>2026-02</v>
      </c>
      <c r="U153" s="18" t="n">
        <f aca="false">RANK(S153,$S$2:$S$670)+COUNTIF($S$2:S153,S153)-1</f>
        <v>414</v>
      </c>
      <c r="V153" s="20" t="n">
        <f aca="false">ROUND((R153-Q153)*24,4)</f>
        <v>5</v>
      </c>
      <c r="W153" s="20" t="n">
        <f aca="false">ROUND((R153-P153)*24,4)</f>
        <v>6</v>
      </c>
      <c r="X153" s="18" t="str">
        <f aca="false">TEXT(P153,"dddd")</f>
        <v>Monday</v>
      </c>
      <c r="Y153" s="18" t="n">
        <f aca="false">HOUR(Q153)</f>
        <v>20</v>
      </c>
    </row>
    <row r="154" customFormat="false" ht="15" hidden="false" customHeight="false" outlineLevel="0" collapsed="false">
      <c r="A154" s="18" t="s">
        <v>35</v>
      </c>
      <c r="B154" s="18" t="s">
        <v>166</v>
      </c>
      <c r="C154" s="18" t="s">
        <v>167</v>
      </c>
      <c r="D154" s="18" t="s">
        <v>47</v>
      </c>
      <c r="E154" s="18" t="s">
        <v>163</v>
      </c>
      <c r="F154" s="18" t="n">
        <v>2602</v>
      </c>
      <c r="G154" s="18" t="s">
        <v>125</v>
      </c>
      <c r="H154" s="18" t="s">
        <v>260</v>
      </c>
      <c r="I154" s="18" t="s">
        <v>24</v>
      </c>
      <c r="J154" s="18" t="s">
        <v>13</v>
      </c>
      <c r="K154" s="18" t="s">
        <v>186</v>
      </c>
      <c r="L154" s="18" t="s">
        <v>125</v>
      </c>
      <c r="M154" s="18" t="s">
        <v>144</v>
      </c>
      <c r="N154" s="18" t="s">
        <v>125</v>
      </c>
      <c r="O154" s="18"/>
      <c r="P154" s="19" t="n">
        <v>46076.9166666667</v>
      </c>
      <c r="Q154" s="19" t="n">
        <v>46076.9583333333</v>
      </c>
      <c r="R154" s="19" t="n">
        <v>46077.6666666667</v>
      </c>
      <c r="S154" s="20" t="n">
        <f aca="false">ROUND((Q154-P154)*24,4)</f>
        <v>1</v>
      </c>
      <c r="T154" s="18" t="str">
        <f aca="false">TEXT(P154,"YYYY-MM")</f>
        <v>2026-02</v>
      </c>
      <c r="U154" s="18" t="n">
        <f aca="false">RANK(S154,$S$2:$S$670)+COUNTIF($S$2:S154,S154)-1</f>
        <v>415</v>
      </c>
      <c r="V154" s="20" t="n">
        <f aca="false">ROUND((R154-Q154)*24,4)</f>
        <v>17</v>
      </c>
      <c r="W154" s="20" t="n">
        <f aca="false">ROUND((R154-P154)*24,4)</f>
        <v>18</v>
      </c>
      <c r="X154" s="18" t="str">
        <f aca="false">TEXT(P154,"dddd")</f>
        <v>Monday</v>
      </c>
      <c r="Y154" s="18" t="n">
        <f aca="false">HOUR(Q154)</f>
        <v>23</v>
      </c>
    </row>
    <row r="155" customFormat="false" ht="15" hidden="false" customHeight="false" outlineLevel="0" collapsed="false">
      <c r="A155" s="18" t="s">
        <v>37</v>
      </c>
      <c r="B155" s="18" t="s">
        <v>242</v>
      </c>
      <c r="C155" s="18" t="s">
        <v>243</v>
      </c>
      <c r="D155" s="18" t="s">
        <v>46</v>
      </c>
      <c r="E155" s="18" t="s">
        <v>185</v>
      </c>
      <c r="F155" s="18" t="n">
        <v>2602</v>
      </c>
      <c r="G155" s="18" t="s">
        <v>125</v>
      </c>
      <c r="H155" s="18" t="s">
        <v>260</v>
      </c>
      <c r="I155" s="18" t="s">
        <v>20</v>
      </c>
      <c r="J155" s="18" t="s">
        <v>13</v>
      </c>
      <c r="K155" s="18" t="s">
        <v>165</v>
      </c>
      <c r="L155" s="18" t="s">
        <v>125</v>
      </c>
      <c r="M155" s="18" t="s">
        <v>125</v>
      </c>
      <c r="N155" s="18" t="s">
        <v>125</v>
      </c>
      <c r="O155" s="18"/>
      <c r="P155" s="19" t="n">
        <v>46076.9583333333</v>
      </c>
      <c r="Q155" s="19" t="n">
        <v>46077.0625</v>
      </c>
      <c r="R155" s="19" t="n">
        <v>46077.6875</v>
      </c>
      <c r="S155" s="20" t="n">
        <f aca="false">ROUND((Q155-P155)*24,4)</f>
        <v>2.5</v>
      </c>
      <c r="T155" s="18" t="str">
        <f aca="false">TEXT(P155,"YYYY-MM")</f>
        <v>2026-02</v>
      </c>
      <c r="U155" s="18" t="n">
        <f aca="false">RANK(S155,$S$2:$S$670)+COUNTIF($S$2:S155,S155)-1</f>
        <v>309</v>
      </c>
      <c r="V155" s="20" t="n">
        <f aca="false">ROUND((R155-Q155)*24,4)</f>
        <v>15</v>
      </c>
      <c r="W155" s="20" t="n">
        <f aca="false">ROUND((R155-P155)*24,4)</f>
        <v>17.5</v>
      </c>
      <c r="X155" s="18" t="str">
        <f aca="false">TEXT(P155,"dddd")</f>
        <v>Monday</v>
      </c>
      <c r="Y155" s="18" t="n">
        <f aca="false">HOUR(Q155)</f>
        <v>1</v>
      </c>
    </row>
    <row r="156" customFormat="false" ht="15" hidden="false" customHeight="false" outlineLevel="0" collapsed="false">
      <c r="A156" s="18" t="s">
        <v>34</v>
      </c>
      <c r="B156" s="18" t="s">
        <v>171</v>
      </c>
      <c r="C156" s="18" t="s">
        <v>172</v>
      </c>
      <c r="D156" s="18" t="s">
        <v>47</v>
      </c>
      <c r="E156" s="18" t="s">
        <v>176</v>
      </c>
      <c r="F156" s="18" t="n">
        <v>2602</v>
      </c>
      <c r="G156" s="18" t="s">
        <v>125</v>
      </c>
      <c r="H156" s="18" t="s">
        <v>260</v>
      </c>
      <c r="I156" s="18" t="s">
        <v>17</v>
      </c>
      <c r="J156" s="18" t="s">
        <v>12</v>
      </c>
      <c r="K156" s="18" t="s">
        <v>13</v>
      </c>
      <c r="L156" s="18" t="s">
        <v>125</v>
      </c>
      <c r="M156" s="18" t="s">
        <v>125</v>
      </c>
      <c r="N156" s="18" t="s">
        <v>125</v>
      </c>
      <c r="O156" s="18"/>
      <c r="P156" s="19" t="n">
        <v>46077.125</v>
      </c>
      <c r="Q156" s="19" t="n">
        <v>46077.8541666667</v>
      </c>
      <c r="R156" s="19" t="n">
        <v>46078.9583333333</v>
      </c>
      <c r="S156" s="20" t="n">
        <f aca="false">ROUND((Q156-P156)*24,4)</f>
        <v>17.5</v>
      </c>
      <c r="T156" s="18" t="str">
        <f aca="false">TEXT(P156,"YYYY-MM")</f>
        <v>2026-02</v>
      </c>
      <c r="U156" s="18" t="n">
        <f aca="false">RANK(S156,$S$2:$S$670)+COUNTIF($S$2:S156,S156)-1</f>
        <v>64</v>
      </c>
      <c r="V156" s="20" t="n">
        <f aca="false">ROUND((R156-Q156)*24,4)</f>
        <v>26.5</v>
      </c>
      <c r="W156" s="20" t="n">
        <f aca="false">ROUND((R156-P156)*24,4)</f>
        <v>44</v>
      </c>
      <c r="X156" s="18" t="str">
        <f aca="false">TEXT(P156,"dddd")</f>
        <v>Tuesday</v>
      </c>
      <c r="Y156" s="18" t="n">
        <f aca="false">HOUR(Q156)</f>
        <v>20</v>
      </c>
    </row>
    <row r="157" customFormat="false" ht="15" hidden="false" customHeight="false" outlineLevel="0" collapsed="false">
      <c r="A157" s="18" t="s">
        <v>32</v>
      </c>
      <c r="B157" s="18" t="s">
        <v>188</v>
      </c>
      <c r="C157" s="18" t="s">
        <v>189</v>
      </c>
      <c r="D157" s="18" t="s">
        <v>46</v>
      </c>
      <c r="E157" s="18" t="s">
        <v>176</v>
      </c>
      <c r="F157" s="18" t="n">
        <v>2602</v>
      </c>
      <c r="G157" s="18" t="s">
        <v>125</v>
      </c>
      <c r="H157" s="18" t="s">
        <v>260</v>
      </c>
      <c r="I157" s="18" t="s">
        <v>23</v>
      </c>
      <c r="J157" s="18" t="s">
        <v>13</v>
      </c>
      <c r="K157" s="18" t="s">
        <v>186</v>
      </c>
      <c r="L157" s="18" t="s">
        <v>125</v>
      </c>
      <c r="M157" s="18" t="s">
        <v>125</v>
      </c>
      <c r="N157" s="18" t="s">
        <v>125</v>
      </c>
      <c r="O157" s="18"/>
      <c r="P157" s="19" t="n">
        <v>46077.4541666667</v>
      </c>
      <c r="Q157" s="19" t="n">
        <v>46077.475</v>
      </c>
      <c r="R157" s="19" t="n">
        <v>46077.8833333333</v>
      </c>
      <c r="S157" s="20" t="n">
        <f aca="false">ROUND((Q157-P157)*24,4)</f>
        <v>0.5</v>
      </c>
      <c r="T157" s="18" t="str">
        <f aca="false">TEXT(P157,"YYYY-MM")</f>
        <v>2026-02</v>
      </c>
      <c r="U157" s="18" t="n">
        <f aca="false">RANK(S157,$S$2:$S$670)+COUNTIF($S$2:S157,S157)-1</f>
        <v>609</v>
      </c>
      <c r="V157" s="20" t="n">
        <f aca="false">ROUND((R157-Q157)*24,4)</f>
        <v>9.8</v>
      </c>
      <c r="W157" s="20" t="n">
        <f aca="false">ROUND((R157-P157)*24,4)</f>
        <v>10.3</v>
      </c>
      <c r="X157" s="18" t="str">
        <f aca="false">TEXT(P157,"dddd")</f>
        <v>Tuesday</v>
      </c>
      <c r="Y157" s="18" t="n">
        <f aca="false">HOUR(Q157)</f>
        <v>11</v>
      </c>
    </row>
    <row r="158" customFormat="false" ht="15" hidden="false" customHeight="false" outlineLevel="0" collapsed="false">
      <c r="A158" s="18" t="s">
        <v>31</v>
      </c>
      <c r="B158" s="18" t="s">
        <v>218</v>
      </c>
      <c r="C158" s="18" t="s">
        <v>219</v>
      </c>
      <c r="D158" s="18" t="s">
        <v>54</v>
      </c>
      <c r="E158" s="18" t="s">
        <v>198</v>
      </c>
      <c r="F158" s="18" t="n">
        <v>1060</v>
      </c>
      <c r="G158" s="18" t="s">
        <v>127</v>
      </c>
      <c r="H158" s="18" t="s">
        <v>271</v>
      </c>
      <c r="I158" s="18" t="s">
        <v>28</v>
      </c>
      <c r="J158" s="18" t="s">
        <v>13</v>
      </c>
      <c r="K158" s="18" t="s">
        <v>13</v>
      </c>
      <c r="L158" s="18" t="s">
        <v>125</v>
      </c>
      <c r="M158" s="18" t="s">
        <v>125</v>
      </c>
      <c r="N158" s="18" t="s">
        <v>125</v>
      </c>
      <c r="O158" s="18" t="s">
        <v>221</v>
      </c>
      <c r="P158" s="19" t="n">
        <v>46077.5416666667</v>
      </c>
      <c r="Q158" s="19" t="n">
        <v>46077.8333333333</v>
      </c>
      <c r="R158" s="19" t="n">
        <v>46078.4166666667</v>
      </c>
      <c r="S158" s="20" t="n">
        <f aca="false">ROUND((Q158-P158)*24,4)</f>
        <v>7</v>
      </c>
      <c r="T158" s="18" t="str">
        <f aca="false">TEXT(P158,"YYYY-MM")</f>
        <v>2026-02</v>
      </c>
      <c r="U158" s="18" t="n">
        <f aca="false">RANK(S158,$S$2:$S$670)+COUNTIF($S$2:S158,S158)-1</f>
        <v>183</v>
      </c>
      <c r="V158" s="20" t="n">
        <f aca="false">ROUND((R158-Q158)*24,4)</f>
        <v>14</v>
      </c>
      <c r="W158" s="20" t="n">
        <f aca="false">ROUND((R158-P158)*24,4)</f>
        <v>21</v>
      </c>
      <c r="X158" s="18" t="str">
        <f aca="false">TEXT(P158,"dddd")</f>
        <v>Tuesday</v>
      </c>
      <c r="Y158" s="18" t="n">
        <f aca="false">HOUR(Q158)</f>
        <v>20</v>
      </c>
    </row>
    <row r="159" customFormat="false" ht="15" hidden="false" customHeight="false" outlineLevel="0" collapsed="false">
      <c r="A159" s="18" t="s">
        <v>31</v>
      </c>
      <c r="B159" s="18" t="s">
        <v>218</v>
      </c>
      <c r="C159" s="18" t="s">
        <v>219</v>
      </c>
      <c r="D159" s="18" t="s">
        <v>54</v>
      </c>
      <c r="E159" s="18" t="s">
        <v>163</v>
      </c>
      <c r="F159" s="18" t="n">
        <v>1060</v>
      </c>
      <c r="G159" s="18" t="s">
        <v>125</v>
      </c>
      <c r="H159" s="18" t="s">
        <v>272</v>
      </c>
      <c r="I159" s="18" t="s">
        <v>24</v>
      </c>
      <c r="J159" s="18" t="s">
        <v>13</v>
      </c>
      <c r="K159" s="18" t="s">
        <v>165</v>
      </c>
      <c r="L159" s="18" t="s">
        <v>125</v>
      </c>
      <c r="M159" s="18" t="s">
        <v>125</v>
      </c>
      <c r="N159" s="18" t="s">
        <v>125</v>
      </c>
      <c r="O159" s="18" t="s">
        <v>221</v>
      </c>
      <c r="P159" s="19" t="n">
        <v>46078.4173611111</v>
      </c>
      <c r="Q159" s="19" t="n">
        <v>46078.4583333333</v>
      </c>
      <c r="R159" s="19" t="n">
        <v>46079.1666666667</v>
      </c>
      <c r="S159" s="20" t="n">
        <f aca="false">ROUND((Q159-P159)*24,4)</f>
        <v>0.9833</v>
      </c>
      <c r="T159" s="18" t="str">
        <f aca="false">TEXT(P159,"YYYY-MM")</f>
        <v>2026-02</v>
      </c>
      <c r="U159" s="18" t="n">
        <f aca="false">RANK(S159,$S$2:$S$670)+COUNTIF($S$2:S159,S159)-1</f>
        <v>579</v>
      </c>
      <c r="V159" s="20" t="n">
        <f aca="false">ROUND((R159-Q159)*24,4)</f>
        <v>17</v>
      </c>
      <c r="W159" s="20" t="n">
        <f aca="false">ROUND((R159-P159)*24,4)</f>
        <v>17.9833</v>
      </c>
      <c r="X159" s="18" t="str">
        <f aca="false">TEXT(P159,"dddd")</f>
        <v>Wednesday</v>
      </c>
      <c r="Y159" s="18" t="n">
        <f aca="false">HOUR(Q159)</f>
        <v>11</v>
      </c>
    </row>
    <row r="160" customFormat="false" ht="15" hidden="false" customHeight="false" outlineLevel="0" collapsed="false">
      <c r="A160" s="18" t="s">
        <v>31</v>
      </c>
      <c r="B160" s="18" t="s">
        <v>218</v>
      </c>
      <c r="C160" s="18" t="s">
        <v>219</v>
      </c>
      <c r="D160" s="18" t="s">
        <v>54</v>
      </c>
      <c r="E160" s="18" t="s">
        <v>168</v>
      </c>
      <c r="F160" s="18" t="n">
        <v>1060</v>
      </c>
      <c r="G160" s="18" t="s">
        <v>125</v>
      </c>
      <c r="H160" s="18" t="s">
        <v>272</v>
      </c>
      <c r="I160" s="18" t="s">
        <v>18</v>
      </c>
      <c r="J160" s="18" t="s">
        <v>12</v>
      </c>
      <c r="K160" s="18" t="s">
        <v>13</v>
      </c>
      <c r="L160" s="18" t="s">
        <v>144</v>
      </c>
      <c r="M160" s="18" t="s">
        <v>125</v>
      </c>
      <c r="N160" s="18" t="s">
        <v>125</v>
      </c>
      <c r="O160" s="18" t="s">
        <v>221</v>
      </c>
      <c r="P160" s="19" t="n">
        <v>46078.4173611111</v>
      </c>
      <c r="Q160" s="19" t="n">
        <v>46078.4180555556</v>
      </c>
      <c r="R160" s="19" t="n">
        <v>46078.41875</v>
      </c>
      <c r="S160" s="20" t="n">
        <f aca="false">ROUND((Q160-P160)*24,4)</f>
        <v>0.0167</v>
      </c>
      <c r="T160" s="18" t="str">
        <f aca="false">TEXT(P160,"YYYY-MM")</f>
        <v>2026-02</v>
      </c>
      <c r="U160" s="18" t="n">
        <f aca="false">RANK(S160,$S$2:$S$670)+COUNTIF($S$2:S160,S160)-1</f>
        <v>633</v>
      </c>
      <c r="V160" s="20" t="n">
        <f aca="false">ROUND((R160-Q160)*24,4)</f>
        <v>0.0167</v>
      </c>
      <c r="W160" s="20" t="n">
        <f aca="false">ROUND((R160-P160)*24,4)</f>
        <v>0.0333</v>
      </c>
      <c r="X160" s="18" t="str">
        <f aca="false">TEXT(P160,"dddd")</f>
        <v>Wednesday</v>
      </c>
      <c r="Y160" s="18" t="n">
        <f aca="false">HOUR(Q160)</f>
        <v>10</v>
      </c>
    </row>
    <row r="161" customFormat="false" ht="15" hidden="false" customHeight="false" outlineLevel="0" collapsed="false">
      <c r="A161" s="18" t="s">
        <v>36</v>
      </c>
      <c r="B161" s="18" t="s">
        <v>267</v>
      </c>
      <c r="C161" s="18" t="s">
        <v>268</v>
      </c>
      <c r="D161" s="18" t="s">
        <v>46</v>
      </c>
      <c r="E161" s="18" t="s">
        <v>176</v>
      </c>
      <c r="F161" s="18" t="n">
        <v>2606</v>
      </c>
      <c r="G161" s="18" t="s">
        <v>125</v>
      </c>
      <c r="H161" s="18" t="s">
        <v>270</v>
      </c>
      <c r="I161" s="18" t="s">
        <v>23</v>
      </c>
      <c r="J161" s="18" t="s">
        <v>13</v>
      </c>
      <c r="K161" s="18" t="s">
        <v>186</v>
      </c>
      <c r="L161" s="18" t="s">
        <v>125</v>
      </c>
      <c r="M161" s="18" t="s">
        <v>125</v>
      </c>
      <c r="N161" s="18" t="s">
        <v>125</v>
      </c>
      <c r="O161" s="18"/>
      <c r="P161" s="19" t="n">
        <v>46078.5833333333</v>
      </c>
      <c r="Q161" s="19" t="n">
        <v>46078.625</v>
      </c>
      <c r="R161" s="19" t="n">
        <v>46079.175</v>
      </c>
      <c r="S161" s="20" t="n">
        <f aca="false">ROUND((Q161-P161)*24,4)</f>
        <v>1</v>
      </c>
      <c r="T161" s="18" t="str">
        <f aca="false">TEXT(P161,"YYYY-MM")</f>
        <v>2026-02</v>
      </c>
      <c r="U161" s="18" t="n">
        <f aca="false">RANK(S161,$S$2:$S$670)+COUNTIF($S$2:S161,S161)-1</f>
        <v>416</v>
      </c>
      <c r="V161" s="20" t="n">
        <f aca="false">ROUND((R161-Q161)*24,4)</f>
        <v>13.2</v>
      </c>
      <c r="W161" s="20" t="n">
        <f aca="false">ROUND((R161-P161)*24,4)</f>
        <v>14.2</v>
      </c>
      <c r="X161" s="18" t="str">
        <f aca="false">TEXT(P161,"dddd")</f>
        <v>Wednesday</v>
      </c>
      <c r="Y161" s="18" t="n">
        <f aca="false">HOUR(Q161)</f>
        <v>15</v>
      </c>
    </row>
    <row r="162" customFormat="false" ht="15" hidden="false" customHeight="false" outlineLevel="0" collapsed="false">
      <c r="A162" s="18" t="s">
        <v>39</v>
      </c>
      <c r="B162" s="18" t="s">
        <v>250</v>
      </c>
      <c r="C162" s="18" t="s">
        <v>251</v>
      </c>
      <c r="D162" s="18" t="s">
        <v>46</v>
      </c>
      <c r="E162" s="18" t="s">
        <v>176</v>
      </c>
      <c r="F162" s="18" t="n">
        <v>2602</v>
      </c>
      <c r="G162" s="18" t="s">
        <v>125</v>
      </c>
      <c r="H162" s="18" t="s">
        <v>260</v>
      </c>
      <c r="I162" s="18" t="s">
        <v>21</v>
      </c>
      <c r="J162" s="18" t="s">
        <v>13</v>
      </c>
      <c r="K162" s="18" t="s">
        <v>216</v>
      </c>
      <c r="L162" s="18" t="s">
        <v>125</v>
      </c>
      <c r="M162" s="18" t="s">
        <v>125</v>
      </c>
      <c r="N162" s="18" t="s">
        <v>125</v>
      </c>
      <c r="O162" s="18"/>
      <c r="P162" s="19" t="n">
        <v>46078.9583333333</v>
      </c>
      <c r="Q162" s="19" t="n">
        <v>46079.0083333333</v>
      </c>
      <c r="R162" s="19" t="n">
        <v>46079.6958333333</v>
      </c>
      <c r="S162" s="20" t="n">
        <f aca="false">ROUND((Q162-P162)*24,4)</f>
        <v>1.2</v>
      </c>
      <c r="T162" s="18" t="str">
        <f aca="false">TEXT(P162,"YYYY-MM")</f>
        <v>2026-02</v>
      </c>
      <c r="U162" s="18" t="n">
        <f aca="false">RANK(S162,$S$2:$S$670)+COUNTIF($S$2:S162,S162)-1</f>
        <v>364</v>
      </c>
      <c r="V162" s="20" t="n">
        <f aca="false">ROUND((R162-Q162)*24,4)</f>
        <v>16.5</v>
      </c>
      <c r="W162" s="20" t="n">
        <f aca="false">ROUND((R162-P162)*24,4)</f>
        <v>17.7</v>
      </c>
      <c r="X162" s="18" t="str">
        <f aca="false">TEXT(P162,"dddd")</f>
        <v>Wednesday</v>
      </c>
      <c r="Y162" s="18" t="n">
        <f aca="false">HOUR(Q162)</f>
        <v>0</v>
      </c>
    </row>
    <row r="163" customFormat="false" ht="15" hidden="false" customHeight="false" outlineLevel="0" collapsed="false">
      <c r="A163" s="18" t="s">
        <v>34</v>
      </c>
      <c r="B163" s="18" t="s">
        <v>171</v>
      </c>
      <c r="C163" s="18" t="s">
        <v>172</v>
      </c>
      <c r="D163" s="18" t="s">
        <v>47</v>
      </c>
      <c r="E163" s="18" t="s">
        <v>185</v>
      </c>
      <c r="F163" s="18" t="n">
        <v>2602</v>
      </c>
      <c r="G163" s="18" t="s">
        <v>125</v>
      </c>
      <c r="H163" s="18" t="s">
        <v>260</v>
      </c>
      <c r="I163" s="18" t="s">
        <v>23</v>
      </c>
      <c r="J163" s="18" t="s">
        <v>13</v>
      </c>
      <c r="K163" s="18" t="s">
        <v>165</v>
      </c>
      <c r="L163" s="18" t="s">
        <v>125</v>
      </c>
      <c r="M163" s="18" t="s">
        <v>125</v>
      </c>
      <c r="N163" s="18" t="s">
        <v>125</v>
      </c>
      <c r="O163" s="18"/>
      <c r="P163" s="19" t="n">
        <v>46079.1666666667</v>
      </c>
      <c r="Q163" s="19" t="n">
        <v>46079.2083333333</v>
      </c>
      <c r="R163" s="19" t="n">
        <v>46079.5833333333</v>
      </c>
      <c r="S163" s="20" t="n">
        <f aca="false">ROUND((Q163-P163)*24,4)</f>
        <v>1</v>
      </c>
      <c r="T163" s="18" t="str">
        <f aca="false">TEXT(P163,"YYYY-MM")</f>
        <v>2026-02</v>
      </c>
      <c r="U163" s="18" t="n">
        <f aca="false">RANK(S163,$S$2:$S$670)+COUNTIF($S$2:S163,S163)-1</f>
        <v>417</v>
      </c>
      <c r="V163" s="20" t="n">
        <f aca="false">ROUND((R163-Q163)*24,4)</f>
        <v>9</v>
      </c>
      <c r="W163" s="20" t="n">
        <f aca="false">ROUND((R163-P163)*24,4)</f>
        <v>10</v>
      </c>
      <c r="X163" s="18" t="str">
        <f aca="false">TEXT(P163,"dddd")</f>
        <v>Thursday</v>
      </c>
      <c r="Y163" s="18" t="n">
        <f aca="false">HOUR(Q163)</f>
        <v>5</v>
      </c>
    </row>
    <row r="164" customFormat="false" ht="15" hidden="false" customHeight="false" outlineLevel="0" collapsed="false">
      <c r="A164" s="18" t="s">
        <v>31</v>
      </c>
      <c r="B164" s="18" t="s">
        <v>203</v>
      </c>
      <c r="C164" s="18" t="s">
        <v>204</v>
      </c>
      <c r="D164" s="18" t="s">
        <v>48</v>
      </c>
      <c r="E164" s="18" t="s">
        <v>198</v>
      </c>
      <c r="F164" s="18" t="n">
        <v>2602</v>
      </c>
      <c r="G164" s="18" t="s">
        <v>127</v>
      </c>
      <c r="H164" s="18" t="s">
        <v>259</v>
      </c>
      <c r="I164" s="18" t="s">
        <v>24</v>
      </c>
      <c r="J164" s="18" t="s">
        <v>13</v>
      </c>
      <c r="K164" s="18" t="s">
        <v>12</v>
      </c>
      <c r="L164" s="18" t="s">
        <v>144</v>
      </c>
      <c r="M164" s="18" t="s">
        <v>125</v>
      </c>
      <c r="N164" s="18" t="s">
        <v>125</v>
      </c>
      <c r="O164" s="18" t="s">
        <v>206</v>
      </c>
      <c r="P164" s="19" t="n">
        <v>46079.5673611111</v>
      </c>
      <c r="Q164" s="19" t="n">
        <v>46079.5680555556</v>
      </c>
      <c r="R164" s="19" t="n">
        <v>46079.56875</v>
      </c>
      <c r="S164" s="20" t="n">
        <f aca="false">ROUND((Q164-P164)*24,4)</f>
        <v>0.0167</v>
      </c>
      <c r="T164" s="18" t="str">
        <f aca="false">TEXT(P164,"YYYY-MM")</f>
        <v>2026-02</v>
      </c>
      <c r="U164" s="18" t="n">
        <f aca="false">RANK(S164,$S$2:$S$670)+COUNTIF($S$2:S164,S164)-1</f>
        <v>634</v>
      </c>
      <c r="V164" s="20" t="n">
        <f aca="false">ROUND((R164-Q164)*24,4)</f>
        <v>0.0167</v>
      </c>
      <c r="W164" s="20" t="n">
        <f aca="false">ROUND((R164-P164)*24,4)</f>
        <v>0.0333</v>
      </c>
      <c r="X164" s="18" t="str">
        <f aca="false">TEXT(P164,"dddd")</f>
        <v>Thursday</v>
      </c>
      <c r="Y164" s="18" t="n">
        <f aca="false">HOUR(Q164)</f>
        <v>13</v>
      </c>
    </row>
    <row r="165" customFormat="false" ht="15" hidden="false" customHeight="false" outlineLevel="0" collapsed="false">
      <c r="A165" s="18" t="s">
        <v>31</v>
      </c>
      <c r="B165" s="18" t="s">
        <v>203</v>
      </c>
      <c r="C165" s="18" t="s">
        <v>204</v>
      </c>
      <c r="D165" s="18" t="s">
        <v>48</v>
      </c>
      <c r="E165" s="18" t="s">
        <v>168</v>
      </c>
      <c r="F165" s="18" t="n">
        <v>2602</v>
      </c>
      <c r="G165" s="18" t="s">
        <v>125</v>
      </c>
      <c r="H165" s="18" t="s">
        <v>260</v>
      </c>
      <c r="I165" s="18" t="s">
        <v>18</v>
      </c>
      <c r="J165" s="18" t="s">
        <v>12</v>
      </c>
      <c r="K165" s="18" t="s">
        <v>13</v>
      </c>
      <c r="L165" s="18" t="s">
        <v>144</v>
      </c>
      <c r="M165" s="18" t="s">
        <v>125</v>
      </c>
      <c r="N165" s="18" t="s">
        <v>125</v>
      </c>
      <c r="O165" s="18" t="s">
        <v>206</v>
      </c>
      <c r="P165" s="19" t="n">
        <v>46079.5694444445</v>
      </c>
      <c r="Q165" s="19" t="n">
        <v>46079.5701388889</v>
      </c>
      <c r="R165" s="19" t="n">
        <v>46079.5708333333</v>
      </c>
      <c r="S165" s="20" t="n">
        <f aca="false">ROUND((Q165-P165)*24,4)</f>
        <v>0.0167</v>
      </c>
      <c r="T165" s="18" t="str">
        <f aca="false">TEXT(P165,"YYYY-MM")</f>
        <v>2026-02</v>
      </c>
      <c r="U165" s="18" t="n">
        <f aca="false">RANK(S165,$S$2:$S$670)+COUNTIF($S$2:S165,S165)-1</f>
        <v>635</v>
      </c>
      <c r="V165" s="20" t="n">
        <f aca="false">ROUND((R165-Q165)*24,4)</f>
        <v>0.0167</v>
      </c>
      <c r="W165" s="20" t="n">
        <f aca="false">ROUND((R165-P165)*24,4)</f>
        <v>0.0333</v>
      </c>
      <c r="X165" s="18" t="str">
        <f aca="false">TEXT(P165,"dddd")</f>
        <v>Thursday</v>
      </c>
      <c r="Y165" s="18" t="n">
        <f aca="false">HOUR(Q165)</f>
        <v>13</v>
      </c>
    </row>
    <row r="166" customFormat="false" ht="15" hidden="false" customHeight="false" outlineLevel="0" collapsed="false">
      <c r="A166" s="18" t="s">
        <v>40</v>
      </c>
      <c r="B166" s="18" t="s">
        <v>236</v>
      </c>
      <c r="C166" s="18" t="s">
        <v>237</v>
      </c>
      <c r="D166" s="18" t="s">
        <v>46</v>
      </c>
      <c r="E166" s="18" t="s">
        <v>273</v>
      </c>
      <c r="F166" s="18" t="n">
        <v>9002</v>
      </c>
      <c r="G166" s="18" t="s">
        <v>125</v>
      </c>
      <c r="H166" s="18" t="s">
        <v>274</v>
      </c>
      <c r="I166" s="18" t="s">
        <v>19</v>
      </c>
      <c r="J166" s="18" t="s">
        <v>12</v>
      </c>
      <c r="K166" s="18" t="s">
        <v>13</v>
      </c>
      <c r="L166" s="18" t="s">
        <v>125</v>
      </c>
      <c r="M166" s="18" t="s">
        <v>125</v>
      </c>
      <c r="N166" s="18" t="s">
        <v>144</v>
      </c>
      <c r="O166" s="18"/>
      <c r="P166" s="19" t="n">
        <v>46080.5416666667</v>
      </c>
      <c r="Q166" s="19" t="n">
        <v>46081.3541666667</v>
      </c>
      <c r="R166" s="19" t="n">
        <v>46083.2291666667</v>
      </c>
      <c r="S166" s="20" t="n">
        <f aca="false">ROUND((Q166-P166)*24,4)</f>
        <v>19.5</v>
      </c>
      <c r="T166" s="18" t="str">
        <f aca="false">TEXT(P166,"YYYY-MM")</f>
        <v>2026-02</v>
      </c>
      <c r="U166" s="18" t="n">
        <f aca="false">RANK(S166,$S$2:$S$670)+COUNTIF($S$2:S166,S166)-1</f>
        <v>51</v>
      </c>
      <c r="V166" s="20" t="n">
        <f aca="false">ROUND((R166-Q166)*24,4)</f>
        <v>45</v>
      </c>
      <c r="W166" s="20" t="n">
        <f aca="false">ROUND((R166-P166)*24,4)</f>
        <v>64.5</v>
      </c>
      <c r="X166" s="18" t="str">
        <f aca="false">TEXT(P166,"dddd")</f>
        <v>Friday</v>
      </c>
      <c r="Y166" s="18" t="n">
        <f aca="false">HOUR(Q166)</f>
        <v>8</v>
      </c>
    </row>
    <row r="167" customFormat="false" ht="15" hidden="false" customHeight="false" outlineLevel="0" collapsed="false">
      <c r="A167" s="18" t="s">
        <v>31</v>
      </c>
      <c r="B167" s="18" t="s">
        <v>203</v>
      </c>
      <c r="C167" s="18" t="s">
        <v>204</v>
      </c>
      <c r="D167" s="18" t="s">
        <v>48</v>
      </c>
      <c r="E167" s="18" t="s">
        <v>163</v>
      </c>
      <c r="F167" s="18" t="n">
        <v>2602</v>
      </c>
      <c r="G167" s="18" t="s">
        <v>125</v>
      </c>
      <c r="H167" s="18" t="s">
        <v>260</v>
      </c>
      <c r="I167" s="18" t="s">
        <v>24</v>
      </c>
      <c r="J167" s="18" t="s">
        <v>13</v>
      </c>
      <c r="K167" s="18" t="s">
        <v>165</v>
      </c>
      <c r="L167" s="18" t="s">
        <v>125</v>
      </c>
      <c r="M167" s="18" t="s">
        <v>125</v>
      </c>
      <c r="N167" s="18" t="s">
        <v>125</v>
      </c>
      <c r="O167" s="18" t="s">
        <v>206</v>
      </c>
      <c r="P167" s="19" t="n">
        <v>46081.0416666667</v>
      </c>
      <c r="Q167" s="19" t="n">
        <v>46081.0833333333</v>
      </c>
      <c r="R167" s="19" t="n">
        <v>46082.0416666667</v>
      </c>
      <c r="S167" s="20" t="n">
        <f aca="false">ROUND((Q167-P167)*24,4)</f>
        <v>1</v>
      </c>
      <c r="T167" s="18" t="str">
        <f aca="false">TEXT(P167,"YYYY-MM")</f>
        <v>2026-02</v>
      </c>
      <c r="U167" s="18" t="n">
        <f aca="false">RANK(S167,$S$2:$S$670)+COUNTIF($S$2:S167,S167)-1</f>
        <v>418</v>
      </c>
      <c r="V167" s="20" t="n">
        <f aca="false">ROUND((R167-Q167)*24,4)</f>
        <v>23</v>
      </c>
      <c r="W167" s="20" t="n">
        <f aca="false">ROUND((R167-P167)*24,4)</f>
        <v>24</v>
      </c>
      <c r="X167" s="18" t="str">
        <f aca="false">TEXT(P167,"dddd")</f>
        <v>Saturday</v>
      </c>
      <c r="Y167" s="18" t="n">
        <f aca="false">HOUR(Q167)</f>
        <v>2</v>
      </c>
    </row>
    <row r="168" customFormat="false" ht="15" hidden="false" customHeight="false" outlineLevel="0" collapsed="false">
      <c r="A168" s="18" t="s">
        <v>38</v>
      </c>
      <c r="B168" s="18" t="s">
        <v>244</v>
      </c>
      <c r="C168" s="18" t="s">
        <v>245</v>
      </c>
      <c r="D168" s="18" t="s">
        <v>47</v>
      </c>
      <c r="E168" s="18" t="s">
        <v>163</v>
      </c>
      <c r="F168" s="18" t="n">
        <v>2602</v>
      </c>
      <c r="G168" s="18" t="s">
        <v>127</v>
      </c>
      <c r="H168" s="18" t="s">
        <v>259</v>
      </c>
      <c r="I168" s="18" t="s">
        <v>23</v>
      </c>
      <c r="J168" s="18" t="s">
        <v>13</v>
      </c>
      <c r="K168" s="18" t="s">
        <v>181</v>
      </c>
      <c r="L168" s="18" t="s">
        <v>125</v>
      </c>
      <c r="M168" s="18" t="s">
        <v>125</v>
      </c>
      <c r="N168" s="18" t="s">
        <v>125</v>
      </c>
      <c r="O168" s="18"/>
      <c r="P168" s="19" t="n">
        <v>46081.1666666667</v>
      </c>
      <c r="Q168" s="19" t="n">
        <v>46081.25</v>
      </c>
      <c r="R168" s="19" t="n">
        <v>46082.0833333333</v>
      </c>
      <c r="S168" s="20" t="n">
        <f aca="false">ROUND((Q168-P168)*24,4)</f>
        <v>2</v>
      </c>
      <c r="T168" s="18" t="str">
        <f aca="false">TEXT(P168,"YYYY-MM")</f>
        <v>2026-02</v>
      </c>
      <c r="U168" s="18" t="n">
        <f aca="false">RANK(S168,$S$2:$S$670)+COUNTIF($S$2:S168,S168)-1</f>
        <v>324</v>
      </c>
      <c r="V168" s="20" t="n">
        <f aca="false">ROUND((R168-Q168)*24,4)</f>
        <v>20</v>
      </c>
      <c r="W168" s="20" t="n">
        <f aca="false">ROUND((R168-P168)*24,4)</f>
        <v>22</v>
      </c>
      <c r="X168" s="18" t="str">
        <f aca="false">TEXT(P168,"dddd")</f>
        <v>Saturday</v>
      </c>
      <c r="Y168" s="18" t="n">
        <f aca="false">HOUR(Q168)</f>
        <v>6</v>
      </c>
    </row>
    <row r="169" customFormat="false" ht="15" hidden="false" customHeight="false" outlineLevel="0" collapsed="false">
      <c r="A169" s="18" t="s">
        <v>37</v>
      </c>
      <c r="B169" s="18" t="s">
        <v>236</v>
      </c>
      <c r="C169" s="18" t="s">
        <v>237</v>
      </c>
      <c r="D169" s="18" t="s">
        <v>46</v>
      </c>
      <c r="E169" s="18" t="s">
        <v>176</v>
      </c>
      <c r="F169" s="18" t="n">
        <v>2601</v>
      </c>
      <c r="G169" s="18" t="s">
        <v>125</v>
      </c>
      <c r="H169" s="18" t="s">
        <v>231</v>
      </c>
      <c r="I169" s="18" t="s">
        <v>19</v>
      </c>
      <c r="J169" s="18" t="s">
        <v>12</v>
      </c>
      <c r="K169" s="18" t="s">
        <v>13</v>
      </c>
      <c r="L169" s="18" t="s">
        <v>125</v>
      </c>
      <c r="M169" s="18" t="s">
        <v>144</v>
      </c>
      <c r="N169" s="18" t="s">
        <v>125</v>
      </c>
      <c r="O169" s="18"/>
      <c r="P169" s="19" t="n">
        <v>46081.2291666667</v>
      </c>
      <c r="Q169" s="19" t="n">
        <v>46081.3541666667</v>
      </c>
      <c r="R169" s="19" t="n">
        <v>46083.2291666667</v>
      </c>
      <c r="S169" s="20" t="n">
        <f aca="false">ROUND((Q169-P169)*24,4)</f>
        <v>3</v>
      </c>
      <c r="T169" s="18" t="str">
        <f aca="false">TEXT(P169,"YYYY-MM")</f>
        <v>2026-02</v>
      </c>
      <c r="U169" s="18" t="n">
        <f aca="false">RANK(S169,$S$2:$S$670)+COUNTIF($S$2:S169,S169)-1</f>
        <v>278</v>
      </c>
      <c r="V169" s="20" t="n">
        <f aca="false">ROUND((R169-Q169)*24,4)</f>
        <v>45</v>
      </c>
      <c r="W169" s="20" t="n">
        <f aca="false">ROUND((R169-P169)*24,4)</f>
        <v>48</v>
      </c>
      <c r="X169" s="18" t="str">
        <f aca="false">TEXT(P169,"dddd")</f>
        <v>Saturday</v>
      </c>
      <c r="Y169" s="18" t="n">
        <f aca="false">HOUR(Q169)</f>
        <v>8</v>
      </c>
    </row>
    <row r="170" customFormat="false" ht="15" hidden="false" customHeight="false" outlineLevel="0" collapsed="false">
      <c r="A170" s="18" t="s">
        <v>33</v>
      </c>
      <c r="B170" s="18" t="s">
        <v>194</v>
      </c>
      <c r="C170" s="18" t="s">
        <v>195</v>
      </c>
      <c r="D170" s="18" t="s">
        <v>46</v>
      </c>
      <c r="E170" s="18" t="s">
        <v>163</v>
      </c>
      <c r="F170" s="18" t="n">
        <v>2602</v>
      </c>
      <c r="G170" s="18" t="s">
        <v>127</v>
      </c>
      <c r="H170" s="18" t="s">
        <v>259</v>
      </c>
      <c r="I170" s="18" t="s">
        <v>23</v>
      </c>
      <c r="J170" s="18" t="s">
        <v>13</v>
      </c>
      <c r="K170" s="18" t="s">
        <v>12</v>
      </c>
      <c r="L170" s="18" t="s">
        <v>125</v>
      </c>
      <c r="M170" s="18" t="s">
        <v>125</v>
      </c>
      <c r="N170" s="18" t="s">
        <v>144</v>
      </c>
      <c r="O170" s="18"/>
      <c r="P170" s="19" t="n">
        <v>46081.875</v>
      </c>
      <c r="Q170" s="19" t="n">
        <v>46082.1666666667</v>
      </c>
      <c r="R170" s="19" t="n">
        <v>46082.5</v>
      </c>
      <c r="S170" s="20" t="n">
        <f aca="false">ROUND((Q170-P170)*24,4)</f>
        <v>7</v>
      </c>
      <c r="T170" s="18" t="str">
        <f aca="false">TEXT(P170,"YYYY-MM")</f>
        <v>2026-02</v>
      </c>
      <c r="U170" s="18" t="n">
        <f aca="false">RANK(S170,$S$2:$S$670)+COUNTIF($S$2:S170,S170)-1</f>
        <v>184</v>
      </c>
      <c r="V170" s="20" t="n">
        <f aca="false">ROUND((R170-Q170)*24,4)</f>
        <v>8</v>
      </c>
      <c r="W170" s="20" t="n">
        <f aca="false">ROUND((R170-P170)*24,4)</f>
        <v>15</v>
      </c>
      <c r="X170" s="18" t="str">
        <f aca="false">TEXT(P170,"dddd")</f>
        <v>Saturday</v>
      </c>
      <c r="Y170" s="18" t="n">
        <f aca="false">HOUR(Q170)</f>
        <v>4</v>
      </c>
    </row>
    <row r="171" customFormat="false" ht="15" hidden="false" customHeight="false" outlineLevel="0" collapsed="false">
      <c r="A171" s="18" t="s">
        <v>33</v>
      </c>
      <c r="B171" s="18" t="s">
        <v>194</v>
      </c>
      <c r="C171" s="18" t="s">
        <v>195</v>
      </c>
      <c r="D171" s="18" t="s">
        <v>46</v>
      </c>
      <c r="E171" s="18" t="s">
        <v>176</v>
      </c>
      <c r="F171" s="18" t="n">
        <v>2602</v>
      </c>
      <c r="G171" s="18" t="s">
        <v>125</v>
      </c>
      <c r="H171" s="18" t="s">
        <v>260</v>
      </c>
      <c r="I171" s="18" t="s">
        <v>18</v>
      </c>
      <c r="J171" s="18" t="s">
        <v>12</v>
      </c>
      <c r="K171" s="18" t="s">
        <v>13</v>
      </c>
      <c r="L171" s="18" t="s">
        <v>125</v>
      </c>
      <c r="M171" s="18" t="s">
        <v>125</v>
      </c>
      <c r="N171" s="18" t="s">
        <v>125</v>
      </c>
      <c r="O171" s="18"/>
      <c r="P171" s="19" t="n">
        <v>46082.5833333333</v>
      </c>
      <c r="Q171" s="19" t="n">
        <v>46082.6666666667</v>
      </c>
      <c r="R171" s="19" t="n">
        <v>46083.4166666667</v>
      </c>
      <c r="S171" s="20" t="n">
        <f aca="false">ROUND((Q171-P171)*24,4)</f>
        <v>2</v>
      </c>
      <c r="T171" s="18" t="str">
        <f aca="false">TEXT(P171,"YYYY-MM")</f>
        <v>2026-03</v>
      </c>
      <c r="U171" s="18" t="n">
        <f aca="false">RANK(S171,$S$2:$S$670)+COUNTIF($S$2:S171,S171)-1</f>
        <v>325</v>
      </c>
      <c r="V171" s="20" t="n">
        <f aca="false">ROUND((R171-Q171)*24,4)</f>
        <v>18</v>
      </c>
      <c r="W171" s="20" t="n">
        <f aca="false">ROUND((R171-P171)*24,4)</f>
        <v>20</v>
      </c>
      <c r="X171" s="18" t="str">
        <f aca="false">TEXT(P171,"dddd")</f>
        <v>Sunday</v>
      </c>
      <c r="Y171" s="18" t="n">
        <f aca="false">HOUR(Q171)</f>
        <v>16</v>
      </c>
    </row>
    <row r="172" customFormat="false" ht="15" hidden="false" customHeight="false" outlineLevel="0" collapsed="false">
      <c r="A172" s="18" t="s">
        <v>31</v>
      </c>
      <c r="B172" s="18" t="s">
        <v>275</v>
      </c>
      <c r="C172" s="18" t="s">
        <v>276</v>
      </c>
      <c r="D172" s="18" t="s">
        <v>46</v>
      </c>
      <c r="E172" s="18" t="s">
        <v>198</v>
      </c>
      <c r="F172" s="18" t="n">
        <v>2606</v>
      </c>
      <c r="G172" s="18" t="s">
        <v>127</v>
      </c>
      <c r="H172" s="18" t="s">
        <v>269</v>
      </c>
      <c r="I172" s="18" t="s">
        <v>24</v>
      </c>
      <c r="J172" s="18" t="s">
        <v>13</v>
      </c>
      <c r="K172" s="18" t="s">
        <v>12</v>
      </c>
      <c r="L172" s="18" t="s">
        <v>125</v>
      </c>
      <c r="M172" s="18" t="s">
        <v>125</v>
      </c>
      <c r="N172" s="18" t="s">
        <v>125</v>
      </c>
      <c r="O172" s="18"/>
      <c r="P172" s="19" t="n">
        <v>46082.9583333333</v>
      </c>
      <c r="Q172" s="19" t="n">
        <v>46084.9930555556</v>
      </c>
      <c r="R172" s="19" t="n">
        <v>46085.3666666667</v>
      </c>
      <c r="S172" s="20" t="n">
        <f aca="false">ROUND((Q172-P172)*24,4)</f>
        <v>48.8333</v>
      </c>
      <c r="T172" s="18" t="str">
        <f aca="false">TEXT(P172,"YYYY-MM")</f>
        <v>2026-03</v>
      </c>
      <c r="U172" s="18" t="n">
        <f aca="false">RANK(S172,$S$2:$S$670)+COUNTIF($S$2:S172,S172)-1</f>
        <v>7</v>
      </c>
      <c r="V172" s="20" t="n">
        <f aca="false">ROUND((R172-Q172)*24,4)</f>
        <v>8.9667</v>
      </c>
      <c r="W172" s="20" t="n">
        <f aca="false">ROUND((R172-P172)*24,4)</f>
        <v>57.8</v>
      </c>
      <c r="X172" s="18" t="str">
        <f aca="false">TEXT(P172,"dddd")</f>
        <v>Sunday</v>
      </c>
      <c r="Y172" s="18" t="n">
        <f aca="false">HOUR(Q172)</f>
        <v>23</v>
      </c>
    </row>
    <row r="173" customFormat="false" ht="15" hidden="false" customHeight="false" outlineLevel="0" collapsed="false">
      <c r="A173" s="18" t="s">
        <v>37</v>
      </c>
      <c r="B173" s="18" t="s">
        <v>236</v>
      </c>
      <c r="C173" s="18" t="s">
        <v>237</v>
      </c>
      <c r="D173" s="18" t="s">
        <v>46</v>
      </c>
      <c r="E173" s="18" t="s">
        <v>185</v>
      </c>
      <c r="F173" s="18" t="n">
        <v>2601</v>
      </c>
      <c r="G173" s="18" t="s">
        <v>125</v>
      </c>
      <c r="H173" s="18" t="s">
        <v>231</v>
      </c>
      <c r="I173" s="18" t="s">
        <v>20</v>
      </c>
      <c r="J173" s="18" t="s">
        <v>13</v>
      </c>
      <c r="K173" s="18" t="s">
        <v>165</v>
      </c>
      <c r="L173" s="18" t="s">
        <v>125</v>
      </c>
      <c r="M173" s="18" t="s">
        <v>144</v>
      </c>
      <c r="N173" s="18" t="s">
        <v>125</v>
      </c>
      <c r="O173" s="18"/>
      <c r="P173" s="19" t="n">
        <v>46083.3125</v>
      </c>
      <c r="Q173" s="19" t="n">
        <v>46084.0833333333</v>
      </c>
      <c r="R173" s="19" t="n">
        <v>46084.625</v>
      </c>
      <c r="S173" s="20" t="n">
        <f aca="false">ROUND((Q173-P173)*24,4)</f>
        <v>18.5</v>
      </c>
      <c r="T173" s="18" t="str">
        <f aca="false">TEXT(P173,"YYYY-MM")</f>
        <v>2026-03</v>
      </c>
      <c r="U173" s="18" t="n">
        <f aca="false">RANK(S173,$S$2:$S$670)+COUNTIF($S$2:S173,S173)-1</f>
        <v>56</v>
      </c>
      <c r="V173" s="20" t="n">
        <f aca="false">ROUND((R173-Q173)*24,4)</f>
        <v>13</v>
      </c>
      <c r="W173" s="20" t="n">
        <f aca="false">ROUND((R173-P173)*24,4)</f>
        <v>31.5</v>
      </c>
      <c r="X173" s="18" t="str">
        <f aca="false">TEXT(P173,"dddd")</f>
        <v>Monday</v>
      </c>
      <c r="Y173" s="18" t="n">
        <f aca="false">HOUR(Q173)</f>
        <v>2</v>
      </c>
    </row>
    <row r="174" customFormat="false" ht="15" hidden="false" customHeight="false" outlineLevel="0" collapsed="false">
      <c r="A174" s="18" t="s">
        <v>33</v>
      </c>
      <c r="B174" s="18" t="s">
        <v>194</v>
      </c>
      <c r="C174" s="18" t="s">
        <v>195</v>
      </c>
      <c r="D174" s="18" t="s">
        <v>46</v>
      </c>
      <c r="E174" s="18" t="s">
        <v>185</v>
      </c>
      <c r="F174" s="18" t="n">
        <v>2602</v>
      </c>
      <c r="G174" s="18" t="s">
        <v>125</v>
      </c>
      <c r="H174" s="18" t="s">
        <v>260</v>
      </c>
      <c r="I174" s="18" t="s">
        <v>23</v>
      </c>
      <c r="J174" s="18" t="s">
        <v>13</v>
      </c>
      <c r="K174" s="18" t="s">
        <v>165</v>
      </c>
      <c r="L174" s="18" t="s">
        <v>125</v>
      </c>
      <c r="M174" s="18" t="s">
        <v>144</v>
      </c>
      <c r="N174" s="18" t="s">
        <v>125</v>
      </c>
      <c r="O174" s="18"/>
      <c r="P174" s="19" t="n">
        <v>46083.5833333333</v>
      </c>
      <c r="Q174" s="19" t="n">
        <v>46083.8333333333</v>
      </c>
      <c r="R174" s="19" t="n">
        <v>46084.1666666667</v>
      </c>
      <c r="S174" s="20" t="n">
        <f aca="false">ROUND((Q174-P174)*24,4)</f>
        <v>6</v>
      </c>
      <c r="T174" s="18" t="str">
        <f aca="false">TEXT(P174,"YYYY-MM")</f>
        <v>2026-03</v>
      </c>
      <c r="U174" s="18" t="n">
        <f aca="false">RANK(S174,$S$2:$S$670)+COUNTIF($S$2:S174,S174)-1</f>
        <v>208</v>
      </c>
      <c r="V174" s="20" t="n">
        <f aca="false">ROUND((R174-Q174)*24,4)</f>
        <v>8</v>
      </c>
      <c r="W174" s="20" t="n">
        <f aca="false">ROUND((R174-P174)*24,4)</f>
        <v>14</v>
      </c>
      <c r="X174" s="18" t="str">
        <f aca="false">TEXT(P174,"dddd")</f>
        <v>Monday</v>
      </c>
      <c r="Y174" s="18" t="n">
        <f aca="false">HOUR(Q174)</f>
        <v>20</v>
      </c>
    </row>
    <row r="175" customFormat="false" ht="15" hidden="false" customHeight="false" outlineLevel="0" collapsed="false">
      <c r="A175" s="18" t="s">
        <v>35</v>
      </c>
      <c r="B175" s="18" t="s">
        <v>199</v>
      </c>
      <c r="C175" s="18" t="s">
        <v>200</v>
      </c>
      <c r="D175" s="18" t="s">
        <v>46</v>
      </c>
      <c r="E175" s="18" t="s">
        <v>198</v>
      </c>
      <c r="F175" s="18" t="n">
        <v>2602</v>
      </c>
      <c r="G175" s="18" t="s">
        <v>127</v>
      </c>
      <c r="H175" s="18" t="s">
        <v>259</v>
      </c>
      <c r="I175" s="18" t="s">
        <v>22</v>
      </c>
      <c r="J175" s="18" t="s">
        <v>13</v>
      </c>
      <c r="K175" s="18" t="s">
        <v>12</v>
      </c>
      <c r="L175" s="18" t="s">
        <v>125</v>
      </c>
      <c r="M175" s="18" t="s">
        <v>125</v>
      </c>
      <c r="N175" s="18" t="s">
        <v>144</v>
      </c>
      <c r="O175" s="18"/>
      <c r="P175" s="19" t="n">
        <v>46084.3333333333</v>
      </c>
      <c r="Q175" s="19" t="n">
        <v>46084.375</v>
      </c>
      <c r="R175" s="19" t="n">
        <v>46084.5416666667</v>
      </c>
      <c r="S175" s="20" t="n">
        <f aca="false">ROUND((Q175-P175)*24,4)</f>
        <v>1</v>
      </c>
      <c r="T175" s="18" t="str">
        <f aca="false">TEXT(P175,"YYYY-MM")</f>
        <v>2026-03</v>
      </c>
      <c r="U175" s="18" t="n">
        <f aca="false">RANK(S175,$S$2:$S$670)+COUNTIF($S$2:S175,S175)-1</f>
        <v>419</v>
      </c>
      <c r="V175" s="20" t="n">
        <f aca="false">ROUND((R175-Q175)*24,4)</f>
        <v>4</v>
      </c>
      <c r="W175" s="20" t="n">
        <f aca="false">ROUND((R175-P175)*24,4)</f>
        <v>5</v>
      </c>
      <c r="X175" s="18" t="str">
        <f aca="false">TEXT(P175,"dddd")</f>
        <v>Tuesday</v>
      </c>
      <c r="Y175" s="18" t="n">
        <f aca="false">HOUR(Q175)</f>
        <v>9</v>
      </c>
    </row>
    <row r="176" customFormat="false" ht="15" hidden="false" customHeight="false" outlineLevel="0" collapsed="false">
      <c r="A176" s="18" t="s">
        <v>35</v>
      </c>
      <c r="B176" s="18" t="s">
        <v>199</v>
      </c>
      <c r="C176" s="18" t="s">
        <v>200</v>
      </c>
      <c r="D176" s="18" t="s">
        <v>46</v>
      </c>
      <c r="E176" s="18" t="s">
        <v>168</v>
      </c>
      <c r="F176" s="18" t="n">
        <v>2602</v>
      </c>
      <c r="G176" s="18" t="s">
        <v>125</v>
      </c>
      <c r="H176" s="18" t="s">
        <v>260</v>
      </c>
      <c r="I176" s="18" t="s">
        <v>19</v>
      </c>
      <c r="J176" s="18" t="s">
        <v>12</v>
      </c>
      <c r="K176" s="18" t="s">
        <v>13</v>
      </c>
      <c r="L176" s="18" t="s">
        <v>125</v>
      </c>
      <c r="M176" s="18" t="s">
        <v>125</v>
      </c>
      <c r="N176" s="18" t="s">
        <v>125</v>
      </c>
      <c r="O176" s="18"/>
      <c r="P176" s="19" t="n">
        <v>46084.625</v>
      </c>
      <c r="Q176" s="19" t="n">
        <v>46085.3333333333</v>
      </c>
      <c r="R176" s="19" t="n">
        <v>46086.625</v>
      </c>
      <c r="S176" s="20" t="n">
        <f aca="false">ROUND((Q176-P176)*24,4)</f>
        <v>17</v>
      </c>
      <c r="T176" s="18" t="str">
        <f aca="false">TEXT(P176,"YYYY-MM")</f>
        <v>2026-03</v>
      </c>
      <c r="U176" s="18" t="n">
        <f aca="false">RANK(S176,$S$2:$S$670)+COUNTIF($S$2:S176,S176)-1</f>
        <v>66</v>
      </c>
      <c r="V176" s="20" t="n">
        <f aca="false">ROUND((R176-Q176)*24,4)</f>
        <v>31</v>
      </c>
      <c r="W176" s="20" t="n">
        <f aca="false">ROUND((R176-P176)*24,4)</f>
        <v>48</v>
      </c>
      <c r="X176" s="18" t="str">
        <f aca="false">TEXT(P176,"dddd")</f>
        <v>Tuesday</v>
      </c>
      <c r="Y176" s="18" t="n">
        <f aca="false">HOUR(Q176)</f>
        <v>8</v>
      </c>
    </row>
    <row r="177" customFormat="false" ht="15" hidden="false" customHeight="false" outlineLevel="0" collapsed="false">
      <c r="A177" s="18" t="s">
        <v>31</v>
      </c>
      <c r="B177" s="18" t="s">
        <v>275</v>
      </c>
      <c r="C177" s="18" t="s">
        <v>276</v>
      </c>
      <c r="D177" s="18" t="s">
        <v>46</v>
      </c>
      <c r="E177" s="18" t="s">
        <v>168</v>
      </c>
      <c r="F177" s="18" t="n">
        <v>2606</v>
      </c>
      <c r="G177" s="18" t="s">
        <v>125</v>
      </c>
      <c r="H177" s="18" t="s">
        <v>270</v>
      </c>
      <c r="I177" s="18" t="s">
        <v>18</v>
      </c>
      <c r="J177" s="18" t="s">
        <v>12</v>
      </c>
      <c r="K177" s="18" t="s">
        <v>13</v>
      </c>
      <c r="L177" s="18" t="s">
        <v>125</v>
      </c>
      <c r="M177" s="18" t="s">
        <v>125</v>
      </c>
      <c r="N177" s="18" t="s">
        <v>125</v>
      </c>
      <c r="O177" s="18"/>
      <c r="P177" s="19" t="n">
        <v>46085.4583333333</v>
      </c>
      <c r="Q177" s="19" t="n">
        <v>46086.2083333333</v>
      </c>
      <c r="R177" s="19" t="n">
        <v>46087.1666666667</v>
      </c>
      <c r="S177" s="20" t="n">
        <f aca="false">ROUND((Q177-P177)*24,4)</f>
        <v>18</v>
      </c>
      <c r="T177" s="18" t="str">
        <f aca="false">TEXT(P177,"YYYY-MM")</f>
        <v>2026-03</v>
      </c>
      <c r="U177" s="18" t="n">
        <f aca="false">RANK(S177,$S$2:$S$670)+COUNTIF($S$2:S177,S177)-1</f>
        <v>60</v>
      </c>
      <c r="V177" s="20" t="n">
        <f aca="false">ROUND((R177-Q177)*24,4)</f>
        <v>23</v>
      </c>
      <c r="W177" s="20" t="n">
        <f aca="false">ROUND((R177-P177)*24,4)</f>
        <v>41</v>
      </c>
      <c r="X177" s="18" t="str">
        <f aca="false">TEXT(P177,"dddd")</f>
        <v>Wednesday</v>
      </c>
      <c r="Y177" s="18" t="n">
        <f aca="false">HOUR(Q177)</f>
        <v>5</v>
      </c>
    </row>
    <row r="178" customFormat="false" ht="15" hidden="false" customHeight="false" outlineLevel="0" collapsed="false">
      <c r="A178" s="18" t="s">
        <v>35</v>
      </c>
      <c r="B178" s="18" t="s">
        <v>199</v>
      </c>
      <c r="C178" s="18" t="s">
        <v>200</v>
      </c>
      <c r="D178" s="18" t="s">
        <v>46</v>
      </c>
      <c r="E178" s="18" t="s">
        <v>163</v>
      </c>
      <c r="F178" s="18" t="n">
        <v>2602</v>
      </c>
      <c r="G178" s="18" t="s">
        <v>125</v>
      </c>
      <c r="H178" s="18" t="s">
        <v>260</v>
      </c>
      <c r="I178" s="18" t="s">
        <v>24</v>
      </c>
      <c r="J178" s="18" t="s">
        <v>13</v>
      </c>
      <c r="K178" s="18" t="s">
        <v>186</v>
      </c>
      <c r="L178" s="18" t="s">
        <v>125</v>
      </c>
      <c r="M178" s="18" t="s">
        <v>144</v>
      </c>
      <c r="N178" s="18" t="s">
        <v>125</v>
      </c>
      <c r="O178" s="18"/>
      <c r="P178" s="19" t="n">
        <v>46086.8333333333</v>
      </c>
      <c r="Q178" s="19" t="n">
        <v>46088.0416666667</v>
      </c>
      <c r="R178" s="19" t="n">
        <v>46088.6666666667</v>
      </c>
      <c r="S178" s="20" t="n">
        <f aca="false">ROUND((Q178-P178)*24,4)</f>
        <v>29</v>
      </c>
      <c r="T178" s="18" t="str">
        <f aca="false">TEXT(P178,"YYYY-MM")</f>
        <v>2026-03</v>
      </c>
      <c r="U178" s="18" t="n">
        <f aca="false">RANK(S178,$S$2:$S$670)+COUNTIF($S$2:S178,S178)-1</f>
        <v>22</v>
      </c>
      <c r="V178" s="20" t="n">
        <f aca="false">ROUND((R178-Q178)*24,4)</f>
        <v>15</v>
      </c>
      <c r="W178" s="20" t="n">
        <f aca="false">ROUND((R178-P178)*24,4)</f>
        <v>44</v>
      </c>
      <c r="X178" s="18" t="str">
        <f aca="false">TEXT(P178,"dddd")</f>
        <v>Thursday</v>
      </c>
      <c r="Y178" s="18" t="n">
        <f aca="false">HOUR(Q178)</f>
        <v>1</v>
      </c>
    </row>
    <row r="179" customFormat="false" ht="15" hidden="false" customHeight="false" outlineLevel="0" collapsed="false">
      <c r="A179" s="18" t="s">
        <v>38</v>
      </c>
      <c r="B179" s="18" t="s">
        <v>255</v>
      </c>
      <c r="C179" s="18" t="s">
        <v>256</v>
      </c>
      <c r="D179" s="18" t="s">
        <v>46</v>
      </c>
      <c r="E179" s="18" t="s">
        <v>163</v>
      </c>
      <c r="F179" s="18" t="n">
        <v>2602</v>
      </c>
      <c r="G179" s="18" t="s">
        <v>127</v>
      </c>
      <c r="H179" s="18" t="s">
        <v>259</v>
      </c>
      <c r="I179" s="18" t="s">
        <v>23</v>
      </c>
      <c r="J179" s="18" t="s">
        <v>13</v>
      </c>
      <c r="K179" s="18" t="s">
        <v>181</v>
      </c>
      <c r="L179" s="18" t="s">
        <v>125</v>
      </c>
      <c r="M179" s="18" t="s">
        <v>125</v>
      </c>
      <c r="N179" s="18" t="s">
        <v>125</v>
      </c>
      <c r="O179" s="18"/>
      <c r="P179" s="19" t="n">
        <v>46087.1666666667</v>
      </c>
      <c r="Q179" s="19" t="n">
        <v>46087.2041666667</v>
      </c>
      <c r="R179" s="19" t="n">
        <v>46087.9583333333</v>
      </c>
      <c r="S179" s="20" t="n">
        <f aca="false">ROUND((Q179-P179)*24,4)</f>
        <v>0.9</v>
      </c>
      <c r="T179" s="18" t="str">
        <f aca="false">TEXT(P179,"YYYY-MM")</f>
        <v>2026-03</v>
      </c>
      <c r="U179" s="18" t="n">
        <f aca="false">RANK(S179,$S$2:$S$670)+COUNTIF($S$2:S179,S179)-1</f>
        <v>580</v>
      </c>
      <c r="V179" s="20" t="n">
        <f aca="false">ROUND((R179-Q179)*24,4)</f>
        <v>18.1</v>
      </c>
      <c r="W179" s="20" t="n">
        <f aca="false">ROUND((R179-P179)*24,4)</f>
        <v>19</v>
      </c>
      <c r="X179" s="18" t="str">
        <f aca="false">TEXT(P179,"dddd")</f>
        <v>Friday</v>
      </c>
      <c r="Y179" s="18" t="n">
        <f aca="false">HOUR(Q179)</f>
        <v>4</v>
      </c>
    </row>
    <row r="180" customFormat="false" ht="15" hidden="false" customHeight="false" outlineLevel="0" collapsed="false">
      <c r="A180" s="18" t="s">
        <v>39</v>
      </c>
      <c r="B180" s="18" t="s">
        <v>277</v>
      </c>
      <c r="C180" s="18" t="s">
        <v>278</v>
      </c>
      <c r="D180" s="18" t="s">
        <v>46</v>
      </c>
      <c r="E180" s="18" t="s">
        <v>176</v>
      </c>
      <c r="F180" s="18" t="n">
        <v>2602</v>
      </c>
      <c r="G180" s="18" t="s">
        <v>125</v>
      </c>
      <c r="H180" s="18" t="s">
        <v>260</v>
      </c>
      <c r="I180" s="18" t="s">
        <v>21</v>
      </c>
      <c r="J180" s="18" t="s">
        <v>13</v>
      </c>
      <c r="K180" s="18" t="s">
        <v>216</v>
      </c>
      <c r="L180" s="18" t="s">
        <v>125</v>
      </c>
      <c r="M180" s="18" t="s">
        <v>125</v>
      </c>
      <c r="N180" s="18" t="s">
        <v>125</v>
      </c>
      <c r="O180" s="18"/>
      <c r="P180" s="19" t="n">
        <v>46087.375</v>
      </c>
      <c r="Q180" s="19" t="n">
        <v>46087.4083333333</v>
      </c>
      <c r="R180" s="19" t="n">
        <v>46088.625</v>
      </c>
      <c r="S180" s="20" t="n">
        <f aca="false">ROUND((Q180-P180)*24,4)</f>
        <v>0.8</v>
      </c>
      <c r="T180" s="18" t="str">
        <f aca="false">TEXT(P180,"YYYY-MM")</f>
        <v>2026-03</v>
      </c>
      <c r="U180" s="18" t="n">
        <f aca="false">RANK(S180,$S$2:$S$670)+COUNTIF($S$2:S180,S180)-1</f>
        <v>586</v>
      </c>
      <c r="V180" s="20" t="n">
        <f aca="false">ROUND((R180-Q180)*24,4)</f>
        <v>29.2</v>
      </c>
      <c r="W180" s="20" t="n">
        <f aca="false">ROUND((R180-P180)*24,4)</f>
        <v>30</v>
      </c>
      <c r="X180" s="18" t="str">
        <f aca="false">TEXT(P180,"dddd")</f>
        <v>Friday</v>
      </c>
      <c r="Y180" s="18" t="n">
        <f aca="false">HOUR(Q180)</f>
        <v>9</v>
      </c>
    </row>
    <row r="181" customFormat="false" ht="15" hidden="false" customHeight="false" outlineLevel="0" collapsed="false">
      <c r="A181" s="18" t="s">
        <v>31</v>
      </c>
      <c r="B181" s="18" t="s">
        <v>275</v>
      </c>
      <c r="C181" s="18" t="s">
        <v>276</v>
      </c>
      <c r="D181" s="18" t="s">
        <v>46</v>
      </c>
      <c r="E181" s="18" t="s">
        <v>163</v>
      </c>
      <c r="F181" s="18" t="n">
        <v>2606</v>
      </c>
      <c r="G181" s="18" t="s">
        <v>125</v>
      </c>
      <c r="H181" s="18" t="s">
        <v>270</v>
      </c>
      <c r="I181" s="18" t="s">
        <v>24</v>
      </c>
      <c r="J181" s="18" t="s">
        <v>13</v>
      </c>
      <c r="K181" s="18" t="s">
        <v>165</v>
      </c>
      <c r="L181" s="18" t="s">
        <v>125</v>
      </c>
      <c r="M181" s="18" t="s">
        <v>125</v>
      </c>
      <c r="N181" s="18" t="s">
        <v>125</v>
      </c>
      <c r="O181" s="18"/>
      <c r="P181" s="19" t="n">
        <v>46087.4166666667</v>
      </c>
      <c r="Q181" s="19" t="n">
        <v>46087.4583333333</v>
      </c>
      <c r="R181" s="19" t="n">
        <v>46088.0416666667</v>
      </c>
      <c r="S181" s="20" t="n">
        <f aca="false">ROUND((Q181-P181)*24,4)</f>
        <v>1</v>
      </c>
      <c r="T181" s="18" t="str">
        <f aca="false">TEXT(P181,"YYYY-MM")</f>
        <v>2026-03</v>
      </c>
      <c r="U181" s="18" t="n">
        <f aca="false">RANK(S181,$S$2:$S$670)+COUNTIF($S$2:S181,S181)-1</f>
        <v>420</v>
      </c>
      <c r="V181" s="20" t="n">
        <f aca="false">ROUND((R181-Q181)*24,4)</f>
        <v>14</v>
      </c>
      <c r="W181" s="20" t="n">
        <f aca="false">ROUND((R181-P181)*24,4)</f>
        <v>15</v>
      </c>
      <c r="X181" s="18" t="str">
        <f aca="false">TEXT(P181,"dddd")</f>
        <v>Friday</v>
      </c>
      <c r="Y181" s="18" t="n">
        <f aca="false">HOUR(Q181)</f>
        <v>11</v>
      </c>
    </row>
    <row r="182" customFormat="false" ht="15" hidden="false" customHeight="false" outlineLevel="0" collapsed="false">
      <c r="A182" s="18" t="s">
        <v>34</v>
      </c>
      <c r="B182" s="18" t="s">
        <v>233</v>
      </c>
      <c r="C182" s="18" t="s">
        <v>234</v>
      </c>
      <c r="D182" s="18" t="s">
        <v>46</v>
      </c>
      <c r="E182" s="18" t="s">
        <v>163</v>
      </c>
      <c r="F182" s="18" t="n">
        <v>2602</v>
      </c>
      <c r="G182" s="18" t="s">
        <v>127</v>
      </c>
      <c r="H182" s="18" t="s">
        <v>259</v>
      </c>
      <c r="I182" s="18" t="s">
        <v>23</v>
      </c>
      <c r="J182" s="18" t="s">
        <v>13</v>
      </c>
      <c r="K182" s="18" t="s">
        <v>12</v>
      </c>
      <c r="L182" s="18" t="s">
        <v>125</v>
      </c>
      <c r="M182" s="18" t="s">
        <v>125</v>
      </c>
      <c r="N182" s="18" t="s">
        <v>125</v>
      </c>
      <c r="O182" s="18"/>
      <c r="P182" s="19" t="n">
        <v>46089.7333333333</v>
      </c>
      <c r="Q182" s="19" t="n">
        <v>46089.9305555556</v>
      </c>
      <c r="R182" s="19" t="n">
        <v>46090.2972222222</v>
      </c>
      <c r="S182" s="20" t="n">
        <f aca="false">ROUND((Q182-P182)*24,4)</f>
        <v>4.7333</v>
      </c>
      <c r="T182" s="18" t="str">
        <f aca="false">TEXT(P182,"YYYY-MM")</f>
        <v>2026-03</v>
      </c>
      <c r="U182" s="18" t="n">
        <f aca="false">RANK(S182,$S$2:$S$670)+COUNTIF($S$2:S182,S182)-1</f>
        <v>241</v>
      </c>
      <c r="V182" s="20" t="n">
        <f aca="false">ROUND((R182-Q182)*24,4)</f>
        <v>8.8</v>
      </c>
      <c r="W182" s="20" t="n">
        <f aca="false">ROUND((R182-P182)*24,4)</f>
        <v>13.5333</v>
      </c>
      <c r="X182" s="18" t="str">
        <f aca="false">TEXT(P182,"dddd")</f>
        <v>Sunday</v>
      </c>
      <c r="Y182" s="18" t="n">
        <f aca="false">HOUR(Q182)</f>
        <v>22</v>
      </c>
    </row>
    <row r="183" customFormat="false" ht="15" hidden="false" customHeight="false" outlineLevel="0" collapsed="false">
      <c r="A183" s="18" t="s">
        <v>32</v>
      </c>
      <c r="B183" s="18" t="s">
        <v>225</v>
      </c>
      <c r="C183" s="18" t="s">
        <v>226</v>
      </c>
      <c r="D183" s="18" t="s">
        <v>47</v>
      </c>
      <c r="E183" s="18" t="s">
        <v>168</v>
      </c>
      <c r="F183" s="18" t="n">
        <v>2603</v>
      </c>
      <c r="G183" s="18" t="s">
        <v>127</v>
      </c>
      <c r="H183" s="18" t="s">
        <v>279</v>
      </c>
      <c r="I183" s="18" t="s">
        <v>23</v>
      </c>
      <c r="J183" s="18" t="s">
        <v>13</v>
      </c>
      <c r="K183" s="18" t="s">
        <v>12</v>
      </c>
      <c r="L183" s="18" t="s">
        <v>125</v>
      </c>
      <c r="M183" s="18" t="s">
        <v>125</v>
      </c>
      <c r="N183" s="18" t="s">
        <v>125</v>
      </c>
      <c r="O183" s="18"/>
      <c r="P183" s="19" t="n">
        <v>46089.9166666667</v>
      </c>
      <c r="Q183" s="19" t="n">
        <v>46089.9583333333</v>
      </c>
      <c r="R183" s="19" t="n">
        <v>46090.2916666667</v>
      </c>
      <c r="S183" s="20" t="n">
        <f aca="false">ROUND((Q183-P183)*24,4)</f>
        <v>1</v>
      </c>
      <c r="T183" s="18" t="str">
        <f aca="false">TEXT(P183,"YYYY-MM")</f>
        <v>2026-03</v>
      </c>
      <c r="U183" s="18" t="n">
        <f aca="false">RANK(S183,$S$2:$S$670)+COUNTIF($S$2:S183,S183)-1</f>
        <v>421</v>
      </c>
      <c r="V183" s="20" t="n">
        <f aca="false">ROUND((R183-Q183)*24,4)</f>
        <v>8</v>
      </c>
      <c r="W183" s="20" t="n">
        <f aca="false">ROUND((R183-P183)*24,4)</f>
        <v>9</v>
      </c>
      <c r="X183" s="18" t="str">
        <f aca="false">TEXT(P183,"dddd")</f>
        <v>Sunday</v>
      </c>
      <c r="Y183" s="18" t="n">
        <f aca="false">HOUR(Q183)</f>
        <v>23</v>
      </c>
    </row>
    <row r="184" customFormat="false" ht="15" hidden="false" customHeight="false" outlineLevel="0" collapsed="false">
      <c r="A184" s="18" t="s">
        <v>34</v>
      </c>
      <c r="B184" s="18" t="s">
        <v>233</v>
      </c>
      <c r="C184" s="18" t="s">
        <v>234</v>
      </c>
      <c r="D184" s="18" t="s">
        <v>46</v>
      </c>
      <c r="E184" s="18" t="s">
        <v>176</v>
      </c>
      <c r="F184" s="18" t="n">
        <v>2602</v>
      </c>
      <c r="G184" s="18" t="s">
        <v>125</v>
      </c>
      <c r="H184" s="18" t="s">
        <v>260</v>
      </c>
      <c r="I184" s="18" t="s">
        <v>17</v>
      </c>
      <c r="J184" s="18" t="s">
        <v>12</v>
      </c>
      <c r="K184" s="18" t="s">
        <v>13</v>
      </c>
      <c r="L184" s="18" t="s">
        <v>125</v>
      </c>
      <c r="M184" s="18" t="s">
        <v>125</v>
      </c>
      <c r="N184" s="18" t="s">
        <v>125</v>
      </c>
      <c r="O184" s="18"/>
      <c r="P184" s="19" t="n">
        <v>46090.375</v>
      </c>
      <c r="Q184" s="19" t="n">
        <v>46090.9166666667</v>
      </c>
      <c r="R184" s="19" t="n">
        <v>46092.2083333333</v>
      </c>
      <c r="S184" s="20" t="n">
        <f aca="false">ROUND((Q184-P184)*24,4)</f>
        <v>13</v>
      </c>
      <c r="T184" s="18" t="str">
        <f aca="false">TEXT(P184,"YYYY-MM")</f>
        <v>2026-03</v>
      </c>
      <c r="U184" s="18" t="n">
        <f aca="false">RANK(S184,$S$2:$S$670)+COUNTIF($S$2:S184,S184)-1</f>
        <v>103</v>
      </c>
      <c r="V184" s="20" t="n">
        <f aca="false">ROUND((R184-Q184)*24,4)</f>
        <v>31</v>
      </c>
      <c r="W184" s="20" t="n">
        <f aca="false">ROUND((R184-P184)*24,4)</f>
        <v>44</v>
      </c>
      <c r="X184" s="18" t="str">
        <f aca="false">TEXT(P184,"dddd")</f>
        <v>Monday</v>
      </c>
      <c r="Y184" s="18" t="n">
        <f aca="false">HOUR(Q184)</f>
        <v>22</v>
      </c>
    </row>
    <row r="185" customFormat="false" ht="15" hidden="false" customHeight="false" outlineLevel="0" collapsed="false">
      <c r="A185" s="18" t="s">
        <v>32</v>
      </c>
      <c r="B185" s="18" t="s">
        <v>225</v>
      </c>
      <c r="C185" s="18" t="s">
        <v>226</v>
      </c>
      <c r="D185" s="18" t="s">
        <v>47</v>
      </c>
      <c r="E185" s="18" t="s">
        <v>163</v>
      </c>
      <c r="F185" s="18" t="n">
        <v>2603</v>
      </c>
      <c r="G185" s="18" t="s">
        <v>125</v>
      </c>
      <c r="H185" s="18" t="s">
        <v>280</v>
      </c>
      <c r="I185" s="18" t="s">
        <v>17</v>
      </c>
      <c r="J185" s="18" t="s">
        <v>12</v>
      </c>
      <c r="K185" s="18" t="s">
        <v>13</v>
      </c>
      <c r="L185" s="18" t="s">
        <v>125</v>
      </c>
      <c r="M185" s="18" t="s">
        <v>125</v>
      </c>
      <c r="N185" s="18" t="s">
        <v>125</v>
      </c>
      <c r="O185" s="18"/>
      <c r="P185" s="19" t="n">
        <v>46090.375</v>
      </c>
      <c r="Q185" s="19" t="n">
        <v>46090.875</v>
      </c>
      <c r="R185" s="19" t="n">
        <v>46091.9583333333</v>
      </c>
      <c r="S185" s="20" t="n">
        <f aca="false">ROUND((Q185-P185)*24,4)</f>
        <v>12</v>
      </c>
      <c r="T185" s="18" t="str">
        <f aca="false">TEXT(P185,"YYYY-MM")</f>
        <v>2026-03</v>
      </c>
      <c r="U185" s="18" t="n">
        <f aca="false">RANK(S185,$S$2:$S$670)+COUNTIF($S$2:S185,S185)-1</f>
        <v>117</v>
      </c>
      <c r="V185" s="20" t="n">
        <f aca="false">ROUND((R185-Q185)*24,4)</f>
        <v>26</v>
      </c>
      <c r="W185" s="20" t="n">
        <f aca="false">ROUND((R185-P185)*24,4)</f>
        <v>38</v>
      </c>
      <c r="X185" s="18" t="str">
        <f aca="false">TEXT(P185,"dddd")</f>
        <v>Monday</v>
      </c>
      <c r="Y185" s="18" t="n">
        <f aca="false">HOUR(Q185)</f>
        <v>21</v>
      </c>
    </row>
    <row r="186" customFormat="false" ht="15" hidden="false" customHeight="false" outlineLevel="0" collapsed="false">
      <c r="A186" s="18" t="s">
        <v>32</v>
      </c>
      <c r="B186" s="18" t="s">
        <v>182</v>
      </c>
      <c r="C186" s="18" t="s">
        <v>183</v>
      </c>
      <c r="D186" s="18" t="s">
        <v>48</v>
      </c>
      <c r="E186" s="18" t="s">
        <v>168</v>
      </c>
      <c r="F186" s="18" t="n">
        <v>2603</v>
      </c>
      <c r="G186" s="18" t="s">
        <v>127</v>
      </c>
      <c r="H186" s="18" t="s">
        <v>279</v>
      </c>
      <c r="I186" s="18" t="s">
        <v>20</v>
      </c>
      <c r="J186" s="18" t="s">
        <v>13</v>
      </c>
      <c r="K186" s="18" t="s">
        <v>12</v>
      </c>
      <c r="L186" s="18" t="s">
        <v>125</v>
      </c>
      <c r="M186" s="18" t="s">
        <v>125</v>
      </c>
      <c r="N186" s="18" t="s">
        <v>125</v>
      </c>
      <c r="O186" s="18"/>
      <c r="P186" s="19" t="n">
        <v>46090.6666666667</v>
      </c>
      <c r="Q186" s="19" t="n">
        <v>46090.6875</v>
      </c>
      <c r="R186" s="19" t="n">
        <v>46090.9791666667</v>
      </c>
      <c r="S186" s="20" t="n">
        <f aca="false">ROUND((Q186-P186)*24,4)</f>
        <v>0.5</v>
      </c>
      <c r="T186" s="18" t="str">
        <f aca="false">TEXT(P186,"YYYY-MM")</f>
        <v>2026-03</v>
      </c>
      <c r="U186" s="18" t="n">
        <f aca="false">RANK(S186,$S$2:$S$670)+COUNTIF($S$2:S186,S186)-1</f>
        <v>610</v>
      </c>
      <c r="V186" s="20" t="n">
        <f aca="false">ROUND((R186-Q186)*24,4)</f>
        <v>7</v>
      </c>
      <c r="W186" s="20" t="n">
        <f aca="false">ROUND((R186-P186)*24,4)</f>
        <v>7.5</v>
      </c>
      <c r="X186" s="18" t="str">
        <f aca="false">TEXT(P186,"dddd")</f>
        <v>Monday</v>
      </c>
      <c r="Y186" s="18" t="n">
        <f aca="false">HOUR(Q186)</f>
        <v>16</v>
      </c>
    </row>
    <row r="187" customFormat="false" ht="15" hidden="false" customHeight="false" outlineLevel="0" collapsed="false">
      <c r="A187" s="18" t="s">
        <v>34</v>
      </c>
      <c r="B187" s="18" t="s">
        <v>240</v>
      </c>
      <c r="C187" s="18" t="s">
        <v>241</v>
      </c>
      <c r="D187" s="18" t="s">
        <v>50</v>
      </c>
      <c r="E187" s="18" t="s">
        <v>163</v>
      </c>
      <c r="F187" s="18" t="n">
        <v>2603</v>
      </c>
      <c r="G187" s="18" t="s">
        <v>127</v>
      </c>
      <c r="H187" s="18" t="s">
        <v>279</v>
      </c>
      <c r="I187" s="18" t="s">
        <v>20</v>
      </c>
      <c r="J187" s="18" t="s">
        <v>13</v>
      </c>
      <c r="K187" s="18" t="s">
        <v>12</v>
      </c>
      <c r="L187" s="18" t="s">
        <v>125</v>
      </c>
      <c r="M187" s="18" t="s">
        <v>125</v>
      </c>
      <c r="N187" s="18" t="s">
        <v>125</v>
      </c>
      <c r="O187" s="18"/>
      <c r="P187" s="19" t="n">
        <v>46091</v>
      </c>
      <c r="Q187" s="19" t="n">
        <v>46091.0833333333</v>
      </c>
      <c r="R187" s="19" t="n">
        <v>46091.5</v>
      </c>
      <c r="S187" s="20" t="n">
        <f aca="false">ROUND((Q187-P187)*24,4)</f>
        <v>2</v>
      </c>
      <c r="T187" s="18" t="str">
        <f aca="false">TEXT(P187,"YYYY-MM")</f>
        <v>2026-03</v>
      </c>
      <c r="U187" s="18" t="n">
        <f aca="false">RANK(S187,$S$2:$S$670)+COUNTIF($S$2:S187,S187)-1</f>
        <v>326</v>
      </c>
      <c r="V187" s="20" t="n">
        <f aca="false">ROUND((R187-Q187)*24,4)</f>
        <v>10</v>
      </c>
      <c r="W187" s="20" t="n">
        <f aca="false">ROUND((R187-P187)*24,4)</f>
        <v>12</v>
      </c>
      <c r="X187" s="18" t="str">
        <f aca="false">TEXT(P187,"dddd")</f>
        <v>Tuesday</v>
      </c>
      <c r="Y187" s="18" t="n">
        <f aca="false">HOUR(Q187)</f>
        <v>2</v>
      </c>
    </row>
    <row r="188" customFormat="false" ht="15" hidden="false" customHeight="false" outlineLevel="0" collapsed="false">
      <c r="A188" s="18" t="s">
        <v>32</v>
      </c>
      <c r="B188" s="18" t="s">
        <v>182</v>
      </c>
      <c r="C188" s="18" t="s">
        <v>183</v>
      </c>
      <c r="D188" s="18" t="s">
        <v>48</v>
      </c>
      <c r="E188" s="18" t="s">
        <v>163</v>
      </c>
      <c r="F188" s="18" t="n">
        <v>2603</v>
      </c>
      <c r="G188" s="18" t="s">
        <v>125</v>
      </c>
      <c r="H188" s="18" t="s">
        <v>280</v>
      </c>
      <c r="I188" s="18" t="s">
        <v>17</v>
      </c>
      <c r="J188" s="18" t="s">
        <v>12</v>
      </c>
      <c r="K188" s="18" t="s">
        <v>13</v>
      </c>
      <c r="L188" s="18" t="s">
        <v>125</v>
      </c>
      <c r="M188" s="18" t="s">
        <v>125</v>
      </c>
      <c r="N188" s="18" t="s">
        <v>125</v>
      </c>
      <c r="O188" s="18"/>
      <c r="P188" s="19" t="n">
        <v>46091.2083333333</v>
      </c>
      <c r="Q188" s="19" t="n">
        <v>46091.3333333333</v>
      </c>
      <c r="R188" s="19" t="n">
        <v>46092.25</v>
      </c>
      <c r="S188" s="20" t="n">
        <f aca="false">ROUND((Q188-P188)*24,4)</f>
        <v>3</v>
      </c>
      <c r="T188" s="18" t="str">
        <f aca="false">TEXT(P188,"YYYY-MM")</f>
        <v>2026-03</v>
      </c>
      <c r="U188" s="18" t="n">
        <f aca="false">RANK(S188,$S$2:$S$670)+COUNTIF($S$2:S188,S188)-1</f>
        <v>279</v>
      </c>
      <c r="V188" s="20" t="n">
        <f aca="false">ROUND((R188-Q188)*24,4)</f>
        <v>22</v>
      </c>
      <c r="W188" s="20" t="n">
        <f aca="false">ROUND((R188-P188)*24,4)</f>
        <v>25</v>
      </c>
      <c r="X188" s="18" t="str">
        <f aca="false">TEXT(P188,"dddd")</f>
        <v>Tuesday</v>
      </c>
      <c r="Y188" s="18" t="n">
        <f aca="false">HOUR(Q188)</f>
        <v>8</v>
      </c>
    </row>
    <row r="189" customFormat="false" ht="15" hidden="false" customHeight="false" outlineLevel="0" collapsed="false">
      <c r="A189" s="18" t="s">
        <v>34</v>
      </c>
      <c r="B189" s="18" t="s">
        <v>240</v>
      </c>
      <c r="C189" s="18" t="s">
        <v>241</v>
      </c>
      <c r="D189" s="18" t="s">
        <v>50</v>
      </c>
      <c r="E189" s="18" t="s">
        <v>176</v>
      </c>
      <c r="F189" s="18" t="n">
        <v>2603</v>
      </c>
      <c r="G189" s="18" t="s">
        <v>125</v>
      </c>
      <c r="H189" s="18" t="s">
        <v>280</v>
      </c>
      <c r="I189" s="18" t="s">
        <v>17</v>
      </c>
      <c r="J189" s="18" t="s">
        <v>12</v>
      </c>
      <c r="K189" s="18" t="s">
        <v>13</v>
      </c>
      <c r="L189" s="18" t="s">
        <v>125</v>
      </c>
      <c r="M189" s="18" t="s">
        <v>125</v>
      </c>
      <c r="N189" s="18" t="s">
        <v>125</v>
      </c>
      <c r="O189" s="18"/>
      <c r="P189" s="19" t="n">
        <v>46091.5833333333</v>
      </c>
      <c r="Q189" s="19" t="n">
        <v>46093</v>
      </c>
      <c r="R189" s="19" t="n">
        <v>46094.1666666667</v>
      </c>
      <c r="S189" s="20" t="n">
        <f aca="false">ROUND((Q189-P189)*24,4)</f>
        <v>34</v>
      </c>
      <c r="T189" s="18" t="str">
        <f aca="false">TEXT(P189,"YYYY-MM")</f>
        <v>2026-03</v>
      </c>
      <c r="U189" s="18" t="n">
        <f aca="false">RANK(S189,$S$2:$S$670)+COUNTIF($S$2:S189,S189)-1</f>
        <v>16</v>
      </c>
      <c r="V189" s="20" t="n">
        <f aca="false">ROUND((R189-Q189)*24,4)</f>
        <v>28</v>
      </c>
      <c r="W189" s="20" t="n">
        <f aca="false">ROUND((R189-P189)*24,4)</f>
        <v>62</v>
      </c>
      <c r="X189" s="18" t="str">
        <f aca="false">TEXT(P189,"dddd")</f>
        <v>Tuesday</v>
      </c>
      <c r="Y189" s="18" t="n">
        <f aca="false">HOUR(Q189)</f>
        <v>0</v>
      </c>
    </row>
    <row r="190" customFormat="false" ht="15" hidden="false" customHeight="false" outlineLevel="0" collapsed="false">
      <c r="A190" s="18" t="s">
        <v>37</v>
      </c>
      <c r="B190" s="18" t="s">
        <v>208</v>
      </c>
      <c r="C190" s="18" t="s">
        <v>209</v>
      </c>
      <c r="D190" s="18" t="s">
        <v>46</v>
      </c>
      <c r="E190" s="18" t="s">
        <v>163</v>
      </c>
      <c r="F190" s="18" t="n">
        <v>2602</v>
      </c>
      <c r="G190" s="18" t="s">
        <v>127</v>
      </c>
      <c r="H190" s="18" t="s">
        <v>259</v>
      </c>
      <c r="I190" s="18" t="s">
        <v>20</v>
      </c>
      <c r="J190" s="18" t="s">
        <v>13</v>
      </c>
      <c r="K190" s="18" t="s">
        <v>12</v>
      </c>
      <c r="L190" s="18" t="s">
        <v>125</v>
      </c>
      <c r="M190" s="18" t="s">
        <v>125</v>
      </c>
      <c r="N190" s="18" t="s">
        <v>125</v>
      </c>
      <c r="O190" s="18"/>
      <c r="P190" s="19" t="n">
        <v>46091.6666666667</v>
      </c>
      <c r="Q190" s="19" t="n">
        <v>46091.7083333333</v>
      </c>
      <c r="R190" s="19" t="n">
        <v>46092.0208333333</v>
      </c>
      <c r="S190" s="20" t="n">
        <f aca="false">ROUND((Q190-P190)*24,4)</f>
        <v>1</v>
      </c>
      <c r="T190" s="18" t="str">
        <f aca="false">TEXT(P190,"YYYY-MM")</f>
        <v>2026-03</v>
      </c>
      <c r="U190" s="18" t="n">
        <f aca="false">RANK(S190,$S$2:$S$670)+COUNTIF($S$2:S190,S190)-1</f>
        <v>422</v>
      </c>
      <c r="V190" s="20" t="n">
        <f aca="false">ROUND((R190-Q190)*24,4)</f>
        <v>7.5</v>
      </c>
      <c r="W190" s="20" t="n">
        <f aca="false">ROUND((R190-P190)*24,4)</f>
        <v>8.5</v>
      </c>
      <c r="X190" s="18" t="str">
        <f aca="false">TEXT(P190,"dddd")</f>
        <v>Tuesday</v>
      </c>
      <c r="Y190" s="18" t="n">
        <f aca="false">HOUR(Q190)</f>
        <v>17</v>
      </c>
    </row>
    <row r="191" customFormat="false" ht="15" hidden="false" customHeight="false" outlineLevel="0" collapsed="false">
      <c r="A191" s="18" t="s">
        <v>37</v>
      </c>
      <c r="B191" s="18" t="s">
        <v>208</v>
      </c>
      <c r="C191" s="18" t="s">
        <v>209</v>
      </c>
      <c r="D191" s="18" t="s">
        <v>46</v>
      </c>
      <c r="E191" s="18" t="s">
        <v>176</v>
      </c>
      <c r="F191" s="18" t="n">
        <v>2602</v>
      </c>
      <c r="G191" s="18" t="s">
        <v>125</v>
      </c>
      <c r="H191" s="18" t="s">
        <v>260</v>
      </c>
      <c r="I191" s="18" t="s">
        <v>19</v>
      </c>
      <c r="J191" s="18" t="s">
        <v>12</v>
      </c>
      <c r="K191" s="18" t="s">
        <v>13</v>
      </c>
      <c r="L191" s="18" t="s">
        <v>125</v>
      </c>
      <c r="M191" s="18" t="s">
        <v>125</v>
      </c>
      <c r="N191" s="18" t="s">
        <v>125</v>
      </c>
      <c r="O191" s="18"/>
      <c r="P191" s="19" t="n">
        <v>46092.1041666667</v>
      </c>
      <c r="Q191" s="19" t="n">
        <v>46093</v>
      </c>
      <c r="R191" s="19" t="n">
        <v>46094.2083333333</v>
      </c>
      <c r="S191" s="20" t="n">
        <f aca="false">ROUND((Q191-P191)*24,4)</f>
        <v>21.5</v>
      </c>
      <c r="T191" s="18" t="str">
        <f aca="false">TEXT(P191,"YYYY-MM")</f>
        <v>2026-03</v>
      </c>
      <c r="U191" s="18" t="n">
        <f aca="false">RANK(S191,$S$2:$S$670)+COUNTIF($S$2:S191,S191)-1</f>
        <v>39</v>
      </c>
      <c r="V191" s="20" t="n">
        <f aca="false">ROUND((R191-Q191)*24,4)</f>
        <v>29</v>
      </c>
      <c r="W191" s="20" t="n">
        <f aca="false">ROUND((R191-P191)*24,4)</f>
        <v>50.5</v>
      </c>
      <c r="X191" s="18" t="str">
        <f aca="false">TEXT(P191,"dddd")</f>
        <v>Wednesday</v>
      </c>
      <c r="Y191" s="18" t="n">
        <f aca="false">HOUR(Q191)</f>
        <v>0</v>
      </c>
    </row>
    <row r="192" customFormat="false" ht="15" hidden="false" customHeight="false" outlineLevel="0" collapsed="false">
      <c r="A192" s="18" t="s">
        <v>32</v>
      </c>
      <c r="B192" s="18" t="s">
        <v>225</v>
      </c>
      <c r="C192" s="18" t="s">
        <v>226</v>
      </c>
      <c r="D192" s="18" t="s">
        <v>47</v>
      </c>
      <c r="E192" s="18" t="s">
        <v>176</v>
      </c>
      <c r="F192" s="18" t="n">
        <v>2603</v>
      </c>
      <c r="G192" s="18" t="s">
        <v>125</v>
      </c>
      <c r="H192" s="18" t="s">
        <v>280</v>
      </c>
      <c r="I192" s="18" t="s">
        <v>23</v>
      </c>
      <c r="J192" s="18" t="s">
        <v>13</v>
      </c>
      <c r="K192" s="18" t="s">
        <v>232</v>
      </c>
      <c r="L192" s="18" t="s">
        <v>125</v>
      </c>
      <c r="M192" s="18" t="s">
        <v>125</v>
      </c>
      <c r="N192" s="18" t="s">
        <v>125</v>
      </c>
      <c r="O192" s="18"/>
      <c r="P192" s="19" t="n">
        <v>46092.1631944445</v>
      </c>
      <c r="Q192" s="19" t="n">
        <v>46092.1875</v>
      </c>
      <c r="R192" s="19" t="n">
        <v>46092.625</v>
      </c>
      <c r="S192" s="20" t="n">
        <f aca="false">ROUND((Q192-P192)*24,4)</f>
        <v>0.5833</v>
      </c>
      <c r="T192" s="18" t="str">
        <f aca="false">TEXT(P192,"YYYY-MM")</f>
        <v>2026-03</v>
      </c>
      <c r="U192" s="18" t="n">
        <f aca="false">RANK(S192,$S$2:$S$670)+COUNTIF($S$2:S192,S192)-1</f>
        <v>599</v>
      </c>
      <c r="V192" s="20" t="n">
        <f aca="false">ROUND((R192-Q192)*24,4)</f>
        <v>10.5</v>
      </c>
      <c r="W192" s="20" t="n">
        <f aca="false">ROUND((R192-P192)*24,4)</f>
        <v>11.0833</v>
      </c>
      <c r="X192" s="18" t="str">
        <f aca="false">TEXT(P192,"dddd")</f>
        <v>Wednesday</v>
      </c>
      <c r="Y192" s="18" t="n">
        <f aca="false">HOUR(Q192)</f>
        <v>4</v>
      </c>
    </row>
    <row r="193" customFormat="false" ht="15" hidden="false" customHeight="false" outlineLevel="0" collapsed="false">
      <c r="A193" s="18" t="s">
        <v>35</v>
      </c>
      <c r="B193" s="18" t="s">
        <v>228</v>
      </c>
      <c r="C193" s="18" t="s">
        <v>229</v>
      </c>
      <c r="D193" s="18" t="s">
        <v>52</v>
      </c>
      <c r="E193" s="18" t="s">
        <v>198</v>
      </c>
      <c r="F193" s="18" t="n">
        <v>26002</v>
      </c>
      <c r="G193" s="18" t="s">
        <v>127</v>
      </c>
      <c r="H193" s="18" t="s">
        <v>281</v>
      </c>
      <c r="I193" s="18" t="s">
        <v>22</v>
      </c>
      <c r="J193" s="18" t="s">
        <v>13</v>
      </c>
      <c r="K193" s="18" t="s">
        <v>12</v>
      </c>
      <c r="L193" s="18" t="s">
        <v>125</v>
      </c>
      <c r="M193" s="18" t="s">
        <v>125</v>
      </c>
      <c r="N193" s="18" t="s">
        <v>125</v>
      </c>
      <c r="O193" s="18"/>
      <c r="P193" s="19" t="n">
        <v>46092.25</v>
      </c>
      <c r="Q193" s="19" t="n">
        <v>46092.2916666667</v>
      </c>
      <c r="R193" s="19" t="n">
        <v>46092.75</v>
      </c>
      <c r="S193" s="20" t="n">
        <f aca="false">ROUND((Q193-P193)*24,4)</f>
        <v>1</v>
      </c>
      <c r="T193" s="18" t="str">
        <f aca="false">TEXT(P193,"YYYY-MM")</f>
        <v>2026-03</v>
      </c>
      <c r="U193" s="18" t="n">
        <f aca="false">RANK(S193,$S$2:$S$670)+COUNTIF($S$2:S193,S193)-1</f>
        <v>423</v>
      </c>
      <c r="V193" s="20" t="n">
        <f aca="false">ROUND((R193-Q193)*24,4)</f>
        <v>11</v>
      </c>
      <c r="W193" s="20" t="n">
        <f aca="false">ROUND((R193-P193)*24,4)</f>
        <v>12</v>
      </c>
      <c r="X193" s="18" t="str">
        <f aca="false">TEXT(P193,"dddd")</f>
        <v>Wednesday</v>
      </c>
      <c r="Y193" s="18" t="n">
        <f aca="false">HOUR(Q193)</f>
        <v>7</v>
      </c>
    </row>
    <row r="194" customFormat="false" ht="15" hidden="false" customHeight="false" outlineLevel="0" collapsed="false">
      <c r="A194" s="18" t="s">
        <v>34</v>
      </c>
      <c r="B194" s="18" t="s">
        <v>233</v>
      </c>
      <c r="C194" s="18" t="s">
        <v>234</v>
      </c>
      <c r="D194" s="18" t="s">
        <v>46</v>
      </c>
      <c r="E194" s="18" t="s">
        <v>185</v>
      </c>
      <c r="F194" s="18" t="n">
        <v>2602</v>
      </c>
      <c r="G194" s="18" t="s">
        <v>125</v>
      </c>
      <c r="H194" s="18" t="s">
        <v>260</v>
      </c>
      <c r="I194" s="18" t="s">
        <v>23</v>
      </c>
      <c r="J194" s="18" t="s">
        <v>13</v>
      </c>
      <c r="K194" s="18" t="s">
        <v>165</v>
      </c>
      <c r="L194" s="18" t="s">
        <v>125</v>
      </c>
      <c r="M194" s="18" t="s">
        <v>125</v>
      </c>
      <c r="N194" s="18" t="s">
        <v>125</v>
      </c>
      <c r="O194" s="18"/>
      <c r="P194" s="19" t="n">
        <v>46092.2916666667</v>
      </c>
      <c r="Q194" s="19" t="n">
        <v>46092.5833333333</v>
      </c>
      <c r="R194" s="19" t="n">
        <v>46093.0555555556</v>
      </c>
      <c r="S194" s="20" t="n">
        <f aca="false">ROUND((Q194-P194)*24,4)</f>
        <v>7</v>
      </c>
      <c r="T194" s="18" t="str">
        <f aca="false">TEXT(P194,"YYYY-MM")</f>
        <v>2026-03</v>
      </c>
      <c r="U194" s="18" t="n">
        <f aca="false">RANK(S194,$S$2:$S$670)+COUNTIF($S$2:S194,S194)-1</f>
        <v>185</v>
      </c>
      <c r="V194" s="20" t="n">
        <f aca="false">ROUND((R194-Q194)*24,4)</f>
        <v>11.3333</v>
      </c>
      <c r="W194" s="20" t="n">
        <f aca="false">ROUND((R194-P194)*24,4)</f>
        <v>18.3333</v>
      </c>
      <c r="X194" s="18" t="str">
        <f aca="false">TEXT(P194,"dddd")</f>
        <v>Wednesday</v>
      </c>
      <c r="Y194" s="18" t="n">
        <f aca="false">HOUR(Q194)</f>
        <v>14</v>
      </c>
    </row>
    <row r="195" customFormat="false" ht="15" hidden="false" customHeight="false" outlineLevel="0" collapsed="false">
      <c r="A195" s="18" t="s">
        <v>32</v>
      </c>
      <c r="B195" s="18" t="s">
        <v>182</v>
      </c>
      <c r="C195" s="18" t="s">
        <v>183</v>
      </c>
      <c r="D195" s="18" t="s">
        <v>48</v>
      </c>
      <c r="E195" s="18" t="s">
        <v>176</v>
      </c>
      <c r="F195" s="18" t="n">
        <v>2603</v>
      </c>
      <c r="G195" s="18" t="s">
        <v>125</v>
      </c>
      <c r="H195" s="18" t="s">
        <v>280</v>
      </c>
      <c r="I195" s="18" t="s">
        <v>23</v>
      </c>
      <c r="J195" s="18" t="s">
        <v>13</v>
      </c>
      <c r="K195" s="18" t="s">
        <v>186</v>
      </c>
      <c r="L195" s="18" t="s">
        <v>125</v>
      </c>
      <c r="M195" s="18" t="s">
        <v>125</v>
      </c>
      <c r="N195" s="18" t="s">
        <v>125</v>
      </c>
      <c r="O195" s="18"/>
      <c r="P195" s="19" t="n">
        <v>46092.4583333333</v>
      </c>
      <c r="Q195" s="19" t="n">
        <v>46092.5</v>
      </c>
      <c r="R195" s="19" t="n">
        <v>46092.9166666667</v>
      </c>
      <c r="S195" s="20" t="n">
        <f aca="false">ROUND((Q195-P195)*24,4)</f>
        <v>1</v>
      </c>
      <c r="T195" s="18" t="str">
        <f aca="false">TEXT(P195,"YYYY-MM")</f>
        <v>2026-03</v>
      </c>
      <c r="U195" s="18" t="n">
        <f aca="false">RANK(S195,$S$2:$S$670)+COUNTIF($S$2:S195,S195)-1</f>
        <v>424</v>
      </c>
      <c r="V195" s="20" t="n">
        <f aca="false">ROUND((R195-Q195)*24,4)</f>
        <v>10</v>
      </c>
      <c r="W195" s="20" t="n">
        <f aca="false">ROUND((R195-P195)*24,4)</f>
        <v>11</v>
      </c>
      <c r="X195" s="18" t="str">
        <f aca="false">TEXT(P195,"dddd")</f>
        <v>Wednesday</v>
      </c>
      <c r="Y195" s="18" t="n">
        <f aca="false">HOUR(Q195)</f>
        <v>12</v>
      </c>
    </row>
    <row r="196" customFormat="false" ht="15" hidden="false" customHeight="false" outlineLevel="0" collapsed="false">
      <c r="A196" s="18" t="s">
        <v>33</v>
      </c>
      <c r="B196" s="18" t="s">
        <v>246</v>
      </c>
      <c r="C196" s="18" t="s">
        <v>247</v>
      </c>
      <c r="D196" s="18" t="s">
        <v>51</v>
      </c>
      <c r="E196" s="18" t="s">
        <v>163</v>
      </c>
      <c r="F196" s="18" t="n">
        <v>143</v>
      </c>
      <c r="G196" s="18" t="s">
        <v>127</v>
      </c>
      <c r="H196" s="18" t="s">
        <v>282</v>
      </c>
      <c r="I196" s="18" t="s">
        <v>23</v>
      </c>
      <c r="J196" s="18" t="s">
        <v>13</v>
      </c>
      <c r="K196" s="18" t="s">
        <v>12</v>
      </c>
      <c r="L196" s="18" t="s">
        <v>125</v>
      </c>
      <c r="M196" s="18" t="s">
        <v>125</v>
      </c>
      <c r="N196" s="18" t="s">
        <v>125</v>
      </c>
      <c r="O196" s="18"/>
      <c r="P196" s="19" t="n">
        <v>46092.75</v>
      </c>
      <c r="Q196" s="19" t="n">
        <v>46093</v>
      </c>
      <c r="R196" s="19" t="n">
        <v>46093.4166666667</v>
      </c>
      <c r="S196" s="20" t="n">
        <f aca="false">ROUND((Q196-P196)*24,4)</f>
        <v>6</v>
      </c>
      <c r="T196" s="18" t="str">
        <f aca="false">TEXT(P196,"YYYY-MM")</f>
        <v>2026-03</v>
      </c>
      <c r="U196" s="18" t="n">
        <f aca="false">RANK(S196,$S$2:$S$670)+COUNTIF($S$2:S196,S196)-1</f>
        <v>209</v>
      </c>
      <c r="V196" s="20" t="n">
        <f aca="false">ROUND((R196-Q196)*24,4)</f>
        <v>10</v>
      </c>
      <c r="W196" s="20" t="n">
        <f aca="false">ROUND((R196-P196)*24,4)</f>
        <v>16</v>
      </c>
      <c r="X196" s="18" t="str">
        <f aca="false">TEXT(P196,"dddd")</f>
        <v>Wednesday</v>
      </c>
      <c r="Y196" s="18" t="n">
        <f aca="false">HOUR(Q196)</f>
        <v>0</v>
      </c>
    </row>
    <row r="197" customFormat="false" ht="15" hidden="false" customHeight="false" outlineLevel="0" collapsed="false">
      <c r="A197" s="18" t="s">
        <v>35</v>
      </c>
      <c r="B197" s="18" t="s">
        <v>228</v>
      </c>
      <c r="C197" s="18" t="s">
        <v>229</v>
      </c>
      <c r="D197" s="18" t="s">
        <v>52</v>
      </c>
      <c r="E197" s="18" t="s">
        <v>168</v>
      </c>
      <c r="F197" s="18" t="n">
        <v>26002</v>
      </c>
      <c r="G197" s="18" t="s">
        <v>125</v>
      </c>
      <c r="H197" s="18" t="s">
        <v>283</v>
      </c>
      <c r="I197" s="18" t="s">
        <v>19</v>
      </c>
      <c r="J197" s="18" t="s">
        <v>12</v>
      </c>
      <c r="K197" s="18" t="s">
        <v>13</v>
      </c>
      <c r="L197" s="18" t="s">
        <v>125</v>
      </c>
      <c r="M197" s="18" t="s">
        <v>125</v>
      </c>
      <c r="N197" s="18" t="s">
        <v>125</v>
      </c>
      <c r="O197" s="18"/>
      <c r="P197" s="19" t="n">
        <v>46092.8333333333</v>
      </c>
      <c r="Q197" s="19" t="n">
        <v>46094.3333333333</v>
      </c>
      <c r="R197" s="19" t="n">
        <v>46095.9583333333</v>
      </c>
      <c r="S197" s="20" t="n">
        <f aca="false">ROUND((Q197-P197)*24,4)</f>
        <v>36</v>
      </c>
      <c r="T197" s="18" t="str">
        <f aca="false">TEXT(P197,"YYYY-MM")</f>
        <v>2026-03</v>
      </c>
      <c r="U197" s="18" t="n">
        <f aca="false">RANK(S197,$S$2:$S$670)+COUNTIF($S$2:S197,S197)-1</f>
        <v>15</v>
      </c>
      <c r="V197" s="20" t="n">
        <f aca="false">ROUND((R197-Q197)*24,4)</f>
        <v>39</v>
      </c>
      <c r="W197" s="20" t="n">
        <f aca="false">ROUND((R197-P197)*24,4)</f>
        <v>75</v>
      </c>
      <c r="X197" s="18" t="str">
        <f aca="false">TEXT(P197,"dddd")</f>
        <v>Wednesday</v>
      </c>
      <c r="Y197" s="18" t="n">
        <f aca="false">HOUR(Q197)</f>
        <v>8</v>
      </c>
    </row>
    <row r="198" customFormat="false" ht="15" hidden="false" customHeight="false" outlineLevel="0" collapsed="false">
      <c r="A198" s="18" t="s">
        <v>33</v>
      </c>
      <c r="B198" s="18" t="s">
        <v>246</v>
      </c>
      <c r="C198" s="18" t="s">
        <v>247</v>
      </c>
      <c r="D198" s="18" t="s">
        <v>51</v>
      </c>
      <c r="E198" s="18" t="s">
        <v>176</v>
      </c>
      <c r="F198" s="18" t="n">
        <v>143</v>
      </c>
      <c r="G198" s="18" t="s">
        <v>125</v>
      </c>
      <c r="H198" s="18" t="s">
        <v>284</v>
      </c>
      <c r="I198" s="18" t="s">
        <v>18</v>
      </c>
      <c r="J198" s="18" t="s">
        <v>12</v>
      </c>
      <c r="K198" s="18" t="s">
        <v>13</v>
      </c>
      <c r="L198" s="18" t="s">
        <v>125</v>
      </c>
      <c r="M198" s="18" t="s">
        <v>125</v>
      </c>
      <c r="N198" s="18" t="s">
        <v>125</v>
      </c>
      <c r="O198" s="18"/>
      <c r="P198" s="19" t="n">
        <v>46093.5</v>
      </c>
      <c r="Q198" s="19" t="n">
        <v>46093.875</v>
      </c>
      <c r="R198" s="19" t="n">
        <v>46094.375</v>
      </c>
      <c r="S198" s="20" t="n">
        <f aca="false">ROUND((Q198-P198)*24,4)</f>
        <v>9</v>
      </c>
      <c r="T198" s="18" t="str">
        <f aca="false">TEXT(P198,"YYYY-MM")</f>
        <v>2026-03</v>
      </c>
      <c r="U198" s="18" t="n">
        <f aca="false">RANK(S198,$S$2:$S$670)+COUNTIF($S$2:S198,S198)-1</f>
        <v>155</v>
      </c>
      <c r="V198" s="20" t="n">
        <f aca="false">ROUND((R198-Q198)*24,4)</f>
        <v>12</v>
      </c>
      <c r="W198" s="20" t="n">
        <f aca="false">ROUND((R198-P198)*24,4)</f>
        <v>21</v>
      </c>
      <c r="X198" s="18" t="str">
        <f aca="false">TEXT(P198,"dddd")</f>
        <v>Thursday</v>
      </c>
      <c r="Y198" s="18" t="n">
        <f aca="false">HOUR(Q198)</f>
        <v>21</v>
      </c>
    </row>
    <row r="199" customFormat="false" ht="15" hidden="false" customHeight="false" outlineLevel="0" collapsed="false">
      <c r="A199" s="18" t="s">
        <v>34</v>
      </c>
      <c r="B199" s="18" t="s">
        <v>240</v>
      </c>
      <c r="C199" s="18" t="s">
        <v>241</v>
      </c>
      <c r="D199" s="18" t="s">
        <v>50</v>
      </c>
      <c r="E199" s="18" t="s">
        <v>185</v>
      </c>
      <c r="F199" s="18" t="n">
        <v>2603</v>
      </c>
      <c r="G199" s="18" t="s">
        <v>125</v>
      </c>
      <c r="H199" s="18" t="s">
        <v>280</v>
      </c>
      <c r="I199" s="18" t="s">
        <v>23</v>
      </c>
      <c r="J199" s="18" t="s">
        <v>13</v>
      </c>
      <c r="K199" s="18" t="s">
        <v>165</v>
      </c>
      <c r="L199" s="18" t="s">
        <v>125</v>
      </c>
      <c r="M199" s="18" t="s">
        <v>125</v>
      </c>
      <c r="N199" s="18" t="s">
        <v>125</v>
      </c>
      <c r="O199" s="18"/>
      <c r="P199" s="19" t="n">
        <v>46094.375</v>
      </c>
      <c r="Q199" s="19" t="n">
        <v>46095.5</v>
      </c>
      <c r="R199" s="19" t="n">
        <v>46095.9291666667</v>
      </c>
      <c r="S199" s="20" t="n">
        <f aca="false">ROUND((Q199-P199)*24,4)</f>
        <v>27</v>
      </c>
      <c r="T199" s="18" t="str">
        <f aca="false">TEXT(P199,"YYYY-MM")</f>
        <v>2026-03</v>
      </c>
      <c r="U199" s="18" t="n">
        <f aca="false">RANK(S199,$S$2:$S$670)+COUNTIF($S$2:S199,S199)-1</f>
        <v>28</v>
      </c>
      <c r="V199" s="20" t="n">
        <f aca="false">ROUND((R199-Q199)*24,4)</f>
        <v>10.3</v>
      </c>
      <c r="W199" s="20" t="n">
        <f aca="false">ROUND((R199-P199)*24,4)</f>
        <v>37.3</v>
      </c>
      <c r="X199" s="18" t="str">
        <f aca="false">TEXT(P199,"dddd")</f>
        <v>Friday</v>
      </c>
      <c r="Y199" s="18" t="n">
        <f aca="false">HOUR(Q199)</f>
        <v>12</v>
      </c>
    </row>
    <row r="200" customFormat="false" ht="15" hidden="false" customHeight="false" outlineLevel="0" collapsed="false">
      <c r="A200" s="18" t="s">
        <v>37</v>
      </c>
      <c r="B200" s="18" t="s">
        <v>208</v>
      </c>
      <c r="C200" s="18" t="s">
        <v>209</v>
      </c>
      <c r="D200" s="18" t="s">
        <v>46</v>
      </c>
      <c r="E200" s="18" t="s">
        <v>185</v>
      </c>
      <c r="F200" s="18" t="n">
        <v>2602</v>
      </c>
      <c r="G200" s="18" t="s">
        <v>125</v>
      </c>
      <c r="H200" s="18" t="s">
        <v>260</v>
      </c>
      <c r="I200" s="18" t="s">
        <v>20</v>
      </c>
      <c r="J200" s="18" t="s">
        <v>13</v>
      </c>
      <c r="K200" s="18" t="s">
        <v>165</v>
      </c>
      <c r="L200" s="18" t="s">
        <v>125</v>
      </c>
      <c r="M200" s="18" t="s">
        <v>125</v>
      </c>
      <c r="N200" s="18" t="s">
        <v>125</v>
      </c>
      <c r="O200" s="18"/>
      <c r="P200" s="19" t="n">
        <v>46094.4583333333</v>
      </c>
      <c r="Q200" s="19" t="n">
        <v>46094.75</v>
      </c>
      <c r="R200" s="19" t="n">
        <v>46095.4791666667</v>
      </c>
      <c r="S200" s="20" t="n">
        <f aca="false">ROUND((Q200-P200)*24,4)</f>
        <v>7</v>
      </c>
      <c r="T200" s="18" t="str">
        <f aca="false">TEXT(P200,"YYYY-MM")</f>
        <v>2026-03</v>
      </c>
      <c r="U200" s="18" t="n">
        <f aca="false">RANK(S200,$S$2:$S$670)+COUNTIF($S$2:S200,S200)-1</f>
        <v>186</v>
      </c>
      <c r="V200" s="20" t="n">
        <f aca="false">ROUND((R200-Q200)*24,4)</f>
        <v>17.5</v>
      </c>
      <c r="W200" s="20" t="n">
        <f aca="false">ROUND((R200-P200)*24,4)</f>
        <v>24.5</v>
      </c>
      <c r="X200" s="18" t="str">
        <f aca="false">TEXT(P200,"dddd")</f>
        <v>Friday</v>
      </c>
      <c r="Y200" s="18" t="n">
        <f aca="false">HOUR(Q200)</f>
        <v>18</v>
      </c>
    </row>
    <row r="201" customFormat="false" ht="15" hidden="false" customHeight="false" outlineLevel="0" collapsed="false">
      <c r="A201" s="18" t="s">
        <v>33</v>
      </c>
      <c r="B201" s="18" t="s">
        <v>246</v>
      </c>
      <c r="C201" s="18" t="s">
        <v>247</v>
      </c>
      <c r="D201" s="18" t="s">
        <v>51</v>
      </c>
      <c r="E201" s="18" t="s">
        <v>185</v>
      </c>
      <c r="F201" s="18" t="n">
        <v>143</v>
      </c>
      <c r="G201" s="18" t="s">
        <v>125</v>
      </c>
      <c r="H201" s="18" t="s">
        <v>284</v>
      </c>
      <c r="I201" s="18" t="s">
        <v>23</v>
      </c>
      <c r="J201" s="18" t="s">
        <v>13</v>
      </c>
      <c r="K201" s="18" t="s">
        <v>165</v>
      </c>
      <c r="L201" s="18" t="s">
        <v>125</v>
      </c>
      <c r="M201" s="18" t="s">
        <v>125</v>
      </c>
      <c r="N201" s="18" t="s">
        <v>125</v>
      </c>
      <c r="O201" s="18"/>
      <c r="P201" s="19" t="n">
        <v>46094.5416666667</v>
      </c>
      <c r="Q201" s="19" t="n">
        <v>46094.5833333333</v>
      </c>
      <c r="R201" s="19" t="n">
        <v>46094.9791666667</v>
      </c>
      <c r="S201" s="20" t="n">
        <f aca="false">ROUND((Q201-P201)*24,4)</f>
        <v>1</v>
      </c>
      <c r="T201" s="18" t="str">
        <f aca="false">TEXT(P201,"YYYY-MM")</f>
        <v>2026-03</v>
      </c>
      <c r="U201" s="18" t="n">
        <f aca="false">RANK(S201,$S$2:$S$670)+COUNTIF($S$2:S201,S201)-1</f>
        <v>425</v>
      </c>
      <c r="V201" s="20" t="n">
        <f aca="false">ROUND((R201-Q201)*24,4)</f>
        <v>9.5</v>
      </c>
      <c r="W201" s="20" t="n">
        <f aca="false">ROUND((R201-P201)*24,4)</f>
        <v>10.5</v>
      </c>
      <c r="X201" s="18" t="str">
        <f aca="false">TEXT(P201,"dddd")</f>
        <v>Friday</v>
      </c>
      <c r="Y201" s="18" t="n">
        <f aca="false">HOUR(Q201)</f>
        <v>14</v>
      </c>
    </row>
    <row r="202" customFormat="false" ht="15" hidden="false" customHeight="false" outlineLevel="0" collapsed="false">
      <c r="A202" s="18" t="s">
        <v>33</v>
      </c>
      <c r="B202" s="18" t="s">
        <v>174</v>
      </c>
      <c r="C202" s="18" t="s">
        <v>175</v>
      </c>
      <c r="D202" s="18" t="s">
        <v>49</v>
      </c>
      <c r="E202" s="18" t="s">
        <v>163</v>
      </c>
      <c r="F202" s="18" t="n">
        <v>2603</v>
      </c>
      <c r="G202" s="18" t="s">
        <v>127</v>
      </c>
      <c r="H202" s="18" t="s">
        <v>279</v>
      </c>
      <c r="I202" s="18" t="s">
        <v>23</v>
      </c>
      <c r="J202" s="18" t="s">
        <v>13</v>
      </c>
      <c r="K202" s="18" t="s">
        <v>12</v>
      </c>
      <c r="L202" s="18" t="s">
        <v>125</v>
      </c>
      <c r="M202" s="18" t="s">
        <v>125</v>
      </c>
      <c r="N202" s="18" t="s">
        <v>125</v>
      </c>
      <c r="O202" s="18"/>
      <c r="P202" s="19" t="n">
        <v>46094.9583333333</v>
      </c>
      <c r="Q202" s="19" t="n">
        <v>46095</v>
      </c>
      <c r="R202" s="19" t="n">
        <v>46095.4166666667</v>
      </c>
      <c r="S202" s="20" t="n">
        <f aca="false">ROUND((Q202-P202)*24,4)</f>
        <v>1</v>
      </c>
      <c r="T202" s="18" t="str">
        <f aca="false">TEXT(P202,"YYYY-MM")</f>
        <v>2026-03</v>
      </c>
      <c r="U202" s="18" t="n">
        <f aca="false">RANK(S202,$S$2:$S$670)+COUNTIF($S$2:S202,S202)-1</f>
        <v>426</v>
      </c>
      <c r="V202" s="20" t="n">
        <f aca="false">ROUND((R202-Q202)*24,4)</f>
        <v>10</v>
      </c>
      <c r="W202" s="20" t="n">
        <f aca="false">ROUND((R202-P202)*24,4)</f>
        <v>11</v>
      </c>
      <c r="X202" s="18" t="str">
        <f aca="false">TEXT(P202,"dddd")</f>
        <v>Friday</v>
      </c>
      <c r="Y202" s="18" t="n">
        <f aca="false">HOUR(Q202)</f>
        <v>0</v>
      </c>
    </row>
    <row r="203" customFormat="false" ht="15" hidden="false" customHeight="false" outlineLevel="0" collapsed="false">
      <c r="A203" s="18" t="s">
        <v>33</v>
      </c>
      <c r="B203" s="18" t="s">
        <v>174</v>
      </c>
      <c r="C203" s="18" t="s">
        <v>175</v>
      </c>
      <c r="D203" s="18" t="s">
        <v>49</v>
      </c>
      <c r="E203" s="18" t="s">
        <v>176</v>
      </c>
      <c r="F203" s="18" t="n">
        <v>2603</v>
      </c>
      <c r="G203" s="18" t="s">
        <v>125</v>
      </c>
      <c r="H203" s="18" t="s">
        <v>280</v>
      </c>
      <c r="I203" s="18" t="s">
        <v>18</v>
      </c>
      <c r="J203" s="18" t="s">
        <v>12</v>
      </c>
      <c r="K203" s="18" t="s">
        <v>13</v>
      </c>
      <c r="L203" s="18" t="s">
        <v>125</v>
      </c>
      <c r="M203" s="18" t="s">
        <v>125</v>
      </c>
      <c r="N203" s="18" t="s">
        <v>125</v>
      </c>
      <c r="O203" s="18"/>
      <c r="P203" s="19" t="n">
        <v>46095.5</v>
      </c>
      <c r="Q203" s="19" t="n">
        <v>46096.2083333333</v>
      </c>
      <c r="R203" s="19" t="n">
        <v>46097.0416666667</v>
      </c>
      <c r="S203" s="20" t="n">
        <f aca="false">ROUND((Q203-P203)*24,4)</f>
        <v>17</v>
      </c>
      <c r="T203" s="18" t="str">
        <f aca="false">TEXT(P203,"YYYY-MM")</f>
        <v>2026-03</v>
      </c>
      <c r="U203" s="18" t="n">
        <f aca="false">RANK(S203,$S$2:$S$670)+COUNTIF($S$2:S203,S203)-1</f>
        <v>67</v>
      </c>
      <c r="V203" s="20" t="n">
        <f aca="false">ROUND((R203-Q203)*24,4)</f>
        <v>20</v>
      </c>
      <c r="W203" s="20" t="n">
        <f aca="false">ROUND((R203-P203)*24,4)</f>
        <v>37</v>
      </c>
      <c r="X203" s="18" t="str">
        <f aca="false">TEXT(P203,"dddd")</f>
        <v>Saturday</v>
      </c>
      <c r="Y203" s="18" t="n">
        <f aca="false">HOUR(Q203)</f>
        <v>5</v>
      </c>
    </row>
    <row r="204" customFormat="false" ht="15" hidden="false" customHeight="false" outlineLevel="0" collapsed="false">
      <c r="A204" s="18" t="s">
        <v>35</v>
      </c>
      <c r="B204" s="18" t="s">
        <v>228</v>
      </c>
      <c r="C204" s="18" t="s">
        <v>229</v>
      </c>
      <c r="D204" s="18" t="s">
        <v>52</v>
      </c>
      <c r="E204" s="18" t="s">
        <v>163</v>
      </c>
      <c r="F204" s="18" t="n">
        <v>26002</v>
      </c>
      <c r="G204" s="18" t="s">
        <v>125</v>
      </c>
      <c r="H204" s="18" t="s">
        <v>283</v>
      </c>
      <c r="I204" s="18" t="s">
        <v>24</v>
      </c>
      <c r="J204" s="18" t="s">
        <v>13</v>
      </c>
      <c r="K204" s="18" t="s">
        <v>186</v>
      </c>
      <c r="L204" s="18" t="s">
        <v>125</v>
      </c>
      <c r="M204" s="18" t="s">
        <v>125</v>
      </c>
      <c r="N204" s="18" t="s">
        <v>125</v>
      </c>
      <c r="O204" s="18"/>
      <c r="P204" s="19" t="n">
        <v>46096.1666666667</v>
      </c>
      <c r="Q204" s="19" t="n">
        <v>46096.2083333333</v>
      </c>
      <c r="R204" s="19" t="n">
        <v>46096.6666666667</v>
      </c>
      <c r="S204" s="20" t="n">
        <f aca="false">ROUND((Q204-P204)*24,4)</f>
        <v>1</v>
      </c>
      <c r="T204" s="18" t="str">
        <f aca="false">TEXT(P204,"YYYY-MM")</f>
        <v>2026-03</v>
      </c>
      <c r="U204" s="18" t="n">
        <f aca="false">RANK(S204,$S$2:$S$670)+COUNTIF($S$2:S204,S204)-1</f>
        <v>427</v>
      </c>
      <c r="V204" s="20" t="n">
        <f aca="false">ROUND((R204-Q204)*24,4)</f>
        <v>11</v>
      </c>
      <c r="W204" s="20" t="n">
        <f aca="false">ROUND((R204-P204)*24,4)</f>
        <v>12</v>
      </c>
      <c r="X204" s="18" t="str">
        <f aca="false">TEXT(P204,"dddd")</f>
        <v>Sunday</v>
      </c>
      <c r="Y204" s="18" t="n">
        <f aca="false">HOUR(Q204)</f>
        <v>5</v>
      </c>
    </row>
    <row r="205" customFormat="false" ht="15" hidden="false" customHeight="false" outlineLevel="0" collapsed="false">
      <c r="A205" s="18" t="s">
        <v>36</v>
      </c>
      <c r="B205" s="18" t="s">
        <v>265</v>
      </c>
      <c r="C205" s="18" t="s">
        <v>266</v>
      </c>
      <c r="D205" s="18" t="s">
        <v>47</v>
      </c>
      <c r="E205" s="18" t="s">
        <v>168</v>
      </c>
      <c r="F205" s="18" t="n">
        <v>2602</v>
      </c>
      <c r="G205" s="18" t="s">
        <v>127</v>
      </c>
      <c r="H205" s="18" t="s">
        <v>259</v>
      </c>
      <c r="I205" s="18" t="s">
        <v>26</v>
      </c>
      <c r="J205" s="18" t="s">
        <v>13</v>
      </c>
      <c r="K205" s="18" t="s">
        <v>12</v>
      </c>
      <c r="L205" s="18" t="s">
        <v>125</v>
      </c>
      <c r="M205" s="18" t="s">
        <v>125</v>
      </c>
      <c r="N205" s="18" t="s">
        <v>125</v>
      </c>
      <c r="O205" s="18"/>
      <c r="P205" s="19" t="n">
        <v>46096.4583333333</v>
      </c>
      <c r="Q205" s="19" t="n">
        <v>46096.5</v>
      </c>
      <c r="R205" s="19" t="n">
        <v>46096.9583333333</v>
      </c>
      <c r="S205" s="20" t="n">
        <f aca="false">ROUND((Q205-P205)*24,4)</f>
        <v>1</v>
      </c>
      <c r="T205" s="18" t="str">
        <f aca="false">TEXT(P205,"YYYY-MM")</f>
        <v>2026-03</v>
      </c>
      <c r="U205" s="18" t="n">
        <f aca="false">RANK(S205,$S$2:$S$670)+COUNTIF($S$2:S205,S205)-1</f>
        <v>428</v>
      </c>
      <c r="V205" s="20" t="n">
        <f aca="false">ROUND((R205-Q205)*24,4)</f>
        <v>11</v>
      </c>
      <c r="W205" s="20" t="n">
        <f aca="false">ROUND((R205-P205)*24,4)</f>
        <v>12</v>
      </c>
      <c r="X205" s="18" t="str">
        <f aca="false">TEXT(P205,"dddd")</f>
        <v>Sunday</v>
      </c>
      <c r="Y205" s="18" t="n">
        <f aca="false">HOUR(Q205)</f>
        <v>12</v>
      </c>
    </row>
    <row r="206" customFormat="false" ht="15" hidden="false" customHeight="false" outlineLevel="0" collapsed="false">
      <c r="A206" s="18" t="s">
        <v>31</v>
      </c>
      <c r="B206" s="18" t="s">
        <v>218</v>
      </c>
      <c r="C206" s="18" t="s">
        <v>219</v>
      </c>
      <c r="D206" s="18" t="s">
        <v>54</v>
      </c>
      <c r="E206" s="18" t="s">
        <v>198</v>
      </c>
      <c r="F206" s="18" t="n">
        <v>1061</v>
      </c>
      <c r="G206" s="18" t="s">
        <v>127</v>
      </c>
      <c r="H206" s="18" t="s">
        <v>285</v>
      </c>
      <c r="I206" s="18" t="s">
        <v>24</v>
      </c>
      <c r="J206" s="18" t="s">
        <v>13</v>
      </c>
      <c r="K206" s="18" t="s">
        <v>12</v>
      </c>
      <c r="L206" s="18" t="s">
        <v>144</v>
      </c>
      <c r="M206" s="18" t="s">
        <v>125</v>
      </c>
      <c r="N206" s="18" t="s">
        <v>125</v>
      </c>
      <c r="O206" s="18" t="s">
        <v>221</v>
      </c>
      <c r="P206" s="19" t="n">
        <v>46096.9173611111</v>
      </c>
      <c r="Q206" s="19" t="n">
        <v>46096.9180555556</v>
      </c>
      <c r="R206" s="19" t="n">
        <v>46096.91875</v>
      </c>
      <c r="S206" s="20" t="n">
        <f aca="false">ROUND((Q206-P206)*24,4)</f>
        <v>0.0167</v>
      </c>
      <c r="T206" s="18" t="str">
        <f aca="false">TEXT(P206,"YYYY-MM")</f>
        <v>2026-03</v>
      </c>
      <c r="U206" s="18" t="n">
        <f aca="false">RANK(S206,$S$2:$S$670)+COUNTIF($S$2:S206,S206)-1</f>
        <v>636</v>
      </c>
      <c r="V206" s="20" t="n">
        <f aca="false">ROUND((R206-Q206)*24,4)</f>
        <v>0.0167</v>
      </c>
      <c r="W206" s="20" t="n">
        <f aca="false">ROUND((R206-P206)*24,4)</f>
        <v>0.0333</v>
      </c>
      <c r="X206" s="18" t="str">
        <f aca="false">TEXT(P206,"dddd")</f>
        <v>Sunday</v>
      </c>
      <c r="Y206" s="18" t="n">
        <f aca="false">HOUR(Q206)</f>
        <v>22</v>
      </c>
    </row>
    <row r="207" customFormat="false" ht="15" hidden="false" customHeight="false" outlineLevel="0" collapsed="false">
      <c r="A207" s="18" t="s">
        <v>31</v>
      </c>
      <c r="B207" s="18" t="s">
        <v>218</v>
      </c>
      <c r="C207" s="18" t="s">
        <v>219</v>
      </c>
      <c r="D207" s="18" t="s">
        <v>54</v>
      </c>
      <c r="E207" s="18" t="s">
        <v>168</v>
      </c>
      <c r="F207" s="18" t="n">
        <v>1061</v>
      </c>
      <c r="G207" s="18" t="s">
        <v>125</v>
      </c>
      <c r="H207" s="18" t="s">
        <v>286</v>
      </c>
      <c r="I207" s="18" t="s">
        <v>18</v>
      </c>
      <c r="J207" s="18" t="s">
        <v>12</v>
      </c>
      <c r="K207" s="18" t="s">
        <v>13</v>
      </c>
      <c r="L207" s="18" t="s">
        <v>144</v>
      </c>
      <c r="M207" s="18" t="s">
        <v>125</v>
      </c>
      <c r="N207" s="18" t="s">
        <v>125</v>
      </c>
      <c r="O207" s="18" t="s">
        <v>221</v>
      </c>
      <c r="P207" s="19" t="n">
        <v>46096.9194444444</v>
      </c>
      <c r="Q207" s="19" t="n">
        <v>46096.9201388889</v>
      </c>
      <c r="R207" s="19" t="n">
        <v>46096.9208333333</v>
      </c>
      <c r="S207" s="20" t="n">
        <f aca="false">ROUND((Q207-P207)*24,4)</f>
        <v>0.0167</v>
      </c>
      <c r="T207" s="18" t="str">
        <f aca="false">TEXT(P207,"YYYY-MM")</f>
        <v>2026-03</v>
      </c>
      <c r="U207" s="18" t="n">
        <f aca="false">RANK(S207,$S$2:$S$670)+COUNTIF($S$2:S207,S207)-1</f>
        <v>637</v>
      </c>
      <c r="V207" s="20" t="n">
        <f aca="false">ROUND((R207-Q207)*24,4)</f>
        <v>0.0167</v>
      </c>
      <c r="W207" s="20" t="n">
        <f aca="false">ROUND((R207-P207)*24,4)</f>
        <v>0.0333</v>
      </c>
      <c r="X207" s="18" t="str">
        <f aca="false">TEXT(P207,"dddd")</f>
        <v>Sunday</v>
      </c>
      <c r="Y207" s="18" t="n">
        <f aca="false">HOUR(Q207)</f>
        <v>22</v>
      </c>
    </row>
    <row r="208" customFormat="false" ht="15" hidden="false" customHeight="false" outlineLevel="0" collapsed="false">
      <c r="A208" s="18" t="s">
        <v>36</v>
      </c>
      <c r="B208" s="18" t="s">
        <v>265</v>
      </c>
      <c r="C208" s="18" t="s">
        <v>266</v>
      </c>
      <c r="D208" s="18" t="s">
        <v>47</v>
      </c>
      <c r="E208" s="18" t="s">
        <v>163</v>
      </c>
      <c r="F208" s="18" t="n">
        <v>2602</v>
      </c>
      <c r="G208" s="18" t="s">
        <v>125</v>
      </c>
      <c r="H208" s="18" t="s">
        <v>260</v>
      </c>
      <c r="I208" s="18" t="s">
        <v>17</v>
      </c>
      <c r="J208" s="18" t="s">
        <v>12</v>
      </c>
      <c r="K208" s="18" t="s">
        <v>13</v>
      </c>
      <c r="L208" s="18" t="s">
        <v>125</v>
      </c>
      <c r="M208" s="18" t="s">
        <v>125</v>
      </c>
      <c r="N208" s="18" t="s">
        <v>125</v>
      </c>
      <c r="O208" s="18"/>
      <c r="P208" s="19" t="n">
        <v>46097.0416666667</v>
      </c>
      <c r="Q208" s="19" t="n">
        <v>46097.2916666667</v>
      </c>
      <c r="R208" s="19" t="n">
        <v>46098.5</v>
      </c>
      <c r="S208" s="20" t="n">
        <f aca="false">ROUND((Q208-P208)*24,4)</f>
        <v>6</v>
      </c>
      <c r="T208" s="18" t="str">
        <f aca="false">TEXT(P208,"YYYY-MM")</f>
        <v>2026-03</v>
      </c>
      <c r="U208" s="18" t="n">
        <f aca="false">RANK(S208,$S$2:$S$670)+COUNTIF($S$2:S208,S208)-1</f>
        <v>210</v>
      </c>
      <c r="V208" s="20" t="n">
        <f aca="false">ROUND((R208-Q208)*24,4)</f>
        <v>29</v>
      </c>
      <c r="W208" s="20" t="n">
        <f aca="false">ROUND((R208-P208)*24,4)</f>
        <v>35</v>
      </c>
      <c r="X208" s="18" t="str">
        <f aca="false">TEXT(P208,"dddd")</f>
        <v>Monday</v>
      </c>
      <c r="Y208" s="18" t="n">
        <f aca="false">HOUR(Q208)</f>
        <v>7</v>
      </c>
    </row>
    <row r="209" customFormat="false" ht="15" hidden="false" customHeight="false" outlineLevel="0" collapsed="false">
      <c r="A209" s="18" t="s">
        <v>33</v>
      </c>
      <c r="B209" s="18" t="s">
        <v>174</v>
      </c>
      <c r="C209" s="18" t="s">
        <v>175</v>
      </c>
      <c r="D209" s="18" t="s">
        <v>49</v>
      </c>
      <c r="E209" s="18" t="s">
        <v>185</v>
      </c>
      <c r="F209" s="18" t="n">
        <v>2603</v>
      </c>
      <c r="G209" s="18" t="s">
        <v>125</v>
      </c>
      <c r="H209" s="18" t="s">
        <v>280</v>
      </c>
      <c r="I209" s="18" t="s">
        <v>23</v>
      </c>
      <c r="J209" s="18" t="s">
        <v>13</v>
      </c>
      <c r="K209" s="18" t="s">
        <v>165</v>
      </c>
      <c r="L209" s="18" t="s">
        <v>125</v>
      </c>
      <c r="M209" s="18" t="s">
        <v>125</v>
      </c>
      <c r="N209" s="18" t="s">
        <v>125</v>
      </c>
      <c r="O209" s="18"/>
      <c r="P209" s="19" t="n">
        <v>46097.2083333333</v>
      </c>
      <c r="Q209" s="19" t="n">
        <v>46097.6666666667</v>
      </c>
      <c r="R209" s="19" t="n">
        <v>46097.9166666667</v>
      </c>
      <c r="S209" s="20" t="n">
        <f aca="false">ROUND((Q209-P209)*24,4)</f>
        <v>11</v>
      </c>
      <c r="T209" s="18" t="str">
        <f aca="false">TEXT(P209,"YYYY-MM")</f>
        <v>2026-03</v>
      </c>
      <c r="U209" s="18" t="n">
        <f aca="false">RANK(S209,$S$2:$S$670)+COUNTIF($S$2:S209,S209)-1</f>
        <v>125</v>
      </c>
      <c r="V209" s="20" t="n">
        <f aca="false">ROUND((R209-Q209)*24,4)</f>
        <v>6</v>
      </c>
      <c r="W209" s="20" t="n">
        <f aca="false">ROUND((R209-P209)*24,4)</f>
        <v>17</v>
      </c>
      <c r="X209" s="18" t="str">
        <f aca="false">TEXT(P209,"dddd")</f>
        <v>Monday</v>
      </c>
      <c r="Y209" s="18" t="n">
        <f aca="false">HOUR(Q209)</f>
        <v>16</v>
      </c>
    </row>
    <row r="210" customFormat="false" ht="15" hidden="false" customHeight="false" outlineLevel="0" collapsed="false">
      <c r="A210" s="18" t="s">
        <v>31</v>
      </c>
      <c r="B210" s="18" t="s">
        <v>218</v>
      </c>
      <c r="C210" s="18" t="s">
        <v>219</v>
      </c>
      <c r="D210" s="18" t="s">
        <v>54</v>
      </c>
      <c r="E210" s="18" t="s">
        <v>163</v>
      </c>
      <c r="F210" s="18" t="n">
        <v>1061</v>
      </c>
      <c r="G210" s="18" t="s">
        <v>125</v>
      </c>
      <c r="H210" s="18" t="s">
        <v>286</v>
      </c>
      <c r="I210" s="18" t="s">
        <v>24</v>
      </c>
      <c r="J210" s="18" t="s">
        <v>13</v>
      </c>
      <c r="K210" s="18" t="s">
        <v>165</v>
      </c>
      <c r="L210" s="18" t="s">
        <v>125</v>
      </c>
      <c r="M210" s="18" t="s">
        <v>125</v>
      </c>
      <c r="N210" s="18" t="s">
        <v>125</v>
      </c>
      <c r="O210" s="18" t="s">
        <v>221</v>
      </c>
      <c r="P210" s="19" t="n">
        <v>46098.5</v>
      </c>
      <c r="Q210" s="19" t="n">
        <v>46098.5416666667</v>
      </c>
      <c r="R210" s="19" t="n">
        <v>46099.4166666667</v>
      </c>
      <c r="S210" s="20" t="n">
        <f aca="false">ROUND((Q210-P210)*24,4)</f>
        <v>1</v>
      </c>
      <c r="T210" s="18" t="str">
        <f aca="false">TEXT(P210,"YYYY-MM")</f>
        <v>2026-03</v>
      </c>
      <c r="U210" s="18" t="n">
        <f aca="false">RANK(S210,$S$2:$S$670)+COUNTIF($S$2:S210,S210)-1</f>
        <v>429</v>
      </c>
      <c r="V210" s="20" t="n">
        <f aca="false">ROUND((R210-Q210)*24,4)</f>
        <v>21</v>
      </c>
      <c r="W210" s="20" t="n">
        <f aca="false">ROUND((R210-P210)*24,4)</f>
        <v>22</v>
      </c>
      <c r="X210" s="18" t="str">
        <f aca="false">TEXT(P210,"dddd")</f>
        <v>Tuesday</v>
      </c>
      <c r="Y210" s="18" t="n">
        <f aca="false">HOUR(Q210)</f>
        <v>13</v>
      </c>
    </row>
    <row r="211" customFormat="false" ht="15" hidden="false" customHeight="false" outlineLevel="0" collapsed="false">
      <c r="A211" s="18" t="s">
        <v>38</v>
      </c>
      <c r="B211" s="18" t="s">
        <v>178</v>
      </c>
      <c r="C211" s="18" t="s">
        <v>179</v>
      </c>
      <c r="D211" s="18" t="s">
        <v>49</v>
      </c>
      <c r="E211" s="18" t="s">
        <v>163</v>
      </c>
      <c r="F211" s="18" t="n">
        <v>2602</v>
      </c>
      <c r="G211" s="18" t="s">
        <v>127</v>
      </c>
      <c r="H211" s="18" t="s">
        <v>259</v>
      </c>
      <c r="I211" s="18" t="s">
        <v>23</v>
      </c>
      <c r="J211" s="18" t="s">
        <v>13</v>
      </c>
      <c r="K211" s="18" t="s">
        <v>181</v>
      </c>
      <c r="L211" s="18" t="s">
        <v>125</v>
      </c>
      <c r="M211" s="18" t="s">
        <v>125</v>
      </c>
      <c r="N211" s="18" t="s">
        <v>125</v>
      </c>
      <c r="O211" s="18"/>
      <c r="P211" s="19" t="n">
        <v>46098.625</v>
      </c>
      <c r="Q211" s="19" t="n">
        <v>46098.6666666667</v>
      </c>
      <c r="R211" s="19" t="n">
        <v>46099.1666666667</v>
      </c>
      <c r="S211" s="20" t="n">
        <f aca="false">ROUND((Q211-P211)*24,4)</f>
        <v>1</v>
      </c>
      <c r="T211" s="18" t="str">
        <f aca="false">TEXT(P211,"YYYY-MM")</f>
        <v>2026-03</v>
      </c>
      <c r="U211" s="18" t="n">
        <f aca="false">RANK(S211,$S$2:$S$670)+COUNTIF($S$2:S211,S211)-1</f>
        <v>430</v>
      </c>
      <c r="V211" s="20" t="n">
        <f aca="false">ROUND((R211-Q211)*24,4)</f>
        <v>12</v>
      </c>
      <c r="W211" s="20" t="n">
        <f aca="false">ROUND((R211-P211)*24,4)</f>
        <v>13</v>
      </c>
      <c r="X211" s="18" t="str">
        <f aca="false">TEXT(P211,"dddd")</f>
        <v>Tuesday</v>
      </c>
      <c r="Y211" s="18" t="n">
        <f aca="false">HOUR(Q211)</f>
        <v>16</v>
      </c>
    </row>
    <row r="212" customFormat="false" ht="15" hidden="false" customHeight="false" outlineLevel="0" collapsed="false">
      <c r="A212" s="18" t="s">
        <v>36</v>
      </c>
      <c r="B212" s="18" t="s">
        <v>265</v>
      </c>
      <c r="C212" s="18" t="s">
        <v>266</v>
      </c>
      <c r="D212" s="18" t="s">
        <v>47</v>
      </c>
      <c r="E212" s="18" t="s">
        <v>176</v>
      </c>
      <c r="F212" s="18" t="n">
        <v>2602</v>
      </c>
      <c r="G212" s="18" t="s">
        <v>125</v>
      </c>
      <c r="H212" s="18" t="s">
        <v>260</v>
      </c>
      <c r="I212" s="18" t="s">
        <v>23</v>
      </c>
      <c r="J212" s="18" t="s">
        <v>13</v>
      </c>
      <c r="K212" s="18" t="s">
        <v>186</v>
      </c>
      <c r="L212" s="18" t="s">
        <v>125</v>
      </c>
      <c r="M212" s="18" t="s">
        <v>125</v>
      </c>
      <c r="N212" s="18" t="s">
        <v>125</v>
      </c>
      <c r="O212" s="18"/>
      <c r="P212" s="19" t="n">
        <v>46098.7083333333</v>
      </c>
      <c r="Q212" s="19" t="n">
        <v>46098.75</v>
      </c>
      <c r="R212" s="19" t="n">
        <v>46099.1625</v>
      </c>
      <c r="S212" s="20" t="n">
        <f aca="false">ROUND((Q212-P212)*24,4)</f>
        <v>1</v>
      </c>
      <c r="T212" s="18" t="str">
        <f aca="false">TEXT(P212,"YYYY-MM")</f>
        <v>2026-03</v>
      </c>
      <c r="U212" s="18" t="n">
        <f aca="false">RANK(S212,$S$2:$S$670)+COUNTIF($S$2:S212,S212)-1</f>
        <v>431</v>
      </c>
      <c r="V212" s="20" t="n">
        <f aca="false">ROUND((R212-Q212)*24,4)</f>
        <v>9.9</v>
      </c>
      <c r="W212" s="20" t="n">
        <f aca="false">ROUND((R212-P212)*24,4)</f>
        <v>10.9</v>
      </c>
      <c r="X212" s="18" t="str">
        <f aca="false">TEXT(P212,"dddd")</f>
        <v>Tuesday</v>
      </c>
      <c r="Y212" s="18" t="n">
        <f aca="false">HOUR(Q212)</f>
        <v>18</v>
      </c>
    </row>
    <row r="213" customFormat="false" ht="15" hidden="false" customHeight="false" outlineLevel="0" collapsed="false">
      <c r="A213" s="18" t="s">
        <v>35</v>
      </c>
      <c r="B213" s="18" t="s">
        <v>166</v>
      </c>
      <c r="C213" s="18" t="s">
        <v>167</v>
      </c>
      <c r="D213" s="18" t="s">
        <v>47</v>
      </c>
      <c r="E213" s="18" t="s">
        <v>198</v>
      </c>
      <c r="F213" s="18" t="n">
        <v>2603</v>
      </c>
      <c r="G213" s="18" t="s">
        <v>127</v>
      </c>
      <c r="H213" s="18" t="s">
        <v>279</v>
      </c>
      <c r="I213" s="18" t="s">
        <v>22</v>
      </c>
      <c r="J213" s="18" t="s">
        <v>13</v>
      </c>
      <c r="K213" s="18" t="s">
        <v>12</v>
      </c>
      <c r="L213" s="18" t="s">
        <v>125</v>
      </c>
      <c r="M213" s="18" t="s">
        <v>125</v>
      </c>
      <c r="N213" s="18" t="s">
        <v>144</v>
      </c>
      <c r="O213" s="18"/>
      <c r="P213" s="19" t="n">
        <v>46099.7916666667</v>
      </c>
      <c r="Q213" s="19" t="n">
        <v>46099.8333333333</v>
      </c>
      <c r="R213" s="19" t="n">
        <v>46100.125</v>
      </c>
      <c r="S213" s="20" t="n">
        <f aca="false">ROUND((Q213-P213)*24,4)</f>
        <v>1</v>
      </c>
      <c r="T213" s="18" t="str">
        <f aca="false">TEXT(P213,"YYYY-MM")</f>
        <v>2026-03</v>
      </c>
      <c r="U213" s="18" t="n">
        <f aca="false">RANK(S213,$S$2:$S$670)+COUNTIF($S$2:S213,S213)-1</f>
        <v>432</v>
      </c>
      <c r="V213" s="20" t="n">
        <f aca="false">ROUND((R213-Q213)*24,4)</f>
        <v>7</v>
      </c>
      <c r="W213" s="20" t="n">
        <f aca="false">ROUND((R213-P213)*24,4)</f>
        <v>8</v>
      </c>
      <c r="X213" s="18" t="str">
        <f aca="false">TEXT(P213,"dddd")</f>
        <v>Wednesday</v>
      </c>
      <c r="Y213" s="18" t="n">
        <f aca="false">HOUR(Q213)</f>
        <v>20</v>
      </c>
    </row>
    <row r="214" customFormat="false" ht="15" hidden="false" customHeight="false" outlineLevel="0" collapsed="false">
      <c r="A214" s="18" t="s">
        <v>32</v>
      </c>
      <c r="B214" s="18" t="s">
        <v>188</v>
      </c>
      <c r="C214" s="18" t="s">
        <v>189</v>
      </c>
      <c r="D214" s="18" t="s">
        <v>46</v>
      </c>
      <c r="E214" s="18" t="s">
        <v>168</v>
      </c>
      <c r="F214" s="18" t="n">
        <v>2603</v>
      </c>
      <c r="G214" s="18" t="s">
        <v>127</v>
      </c>
      <c r="H214" s="18" t="s">
        <v>279</v>
      </c>
      <c r="I214" s="18" t="s">
        <v>23</v>
      </c>
      <c r="J214" s="18" t="s">
        <v>13</v>
      </c>
      <c r="K214" s="18" t="s">
        <v>12</v>
      </c>
      <c r="L214" s="18" t="s">
        <v>125</v>
      </c>
      <c r="M214" s="18" t="s">
        <v>125</v>
      </c>
      <c r="N214" s="18" t="s">
        <v>125</v>
      </c>
      <c r="O214" s="18"/>
      <c r="P214" s="19" t="n">
        <v>46099.9951388889</v>
      </c>
      <c r="Q214" s="19" t="n">
        <v>46100.0208333333</v>
      </c>
      <c r="R214" s="19" t="n">
        <v>46100.3375</v>
      </c>
      <c r="S214" s="20" t="n">
        <f aca="false">ROUND((Q214-P214)*24,4)</f>
        <v>0.6167</v>
      </c>
      <c r="T214" s="18" t="str">
        <f aca="false">TEXT(P214,"YYYY-MM")</f>
        <v>2026-03</v>
      </c>
      <c r="U214" s="18" t="n">
        <f aca="false">RANK(S214,$S$2:$S$670)+COUNTIF($S$2:S214,S214)-1</f>
        <v>594</v>
      </c>
      <c r="V214" s="20" t="n">
        <f aca="false">ROUND((R214-Q214)*24,4)</f>
        <v>7.6</v>
      </c>
      <c r="W214" s="20" t="n">
        <f aca="false">ROUND((R214-P214)*24,4)</f>
        <v>8.2167</v>
      </c>
      <c r="X214" s="18" t="str">
        <f aca="false">TEXT(P214,"dddd")</f>
        <v>Wednesday</v>
      </c>
      <c r="Y214" s="18" t="n">
        <f aca="false">HOUR(Q214)</f>
        <v>0</v>
      </c>
    </row>
    <row r="215" customFormat="false" ht="15" hidden="false" customHeight="false" outlineLevel="0" collapsed="false">
      <c r="A215" s="18" t="s">
        <v>34</v>
      </c>
      <c r="B215" s="18" t="s">
        <v>171</v>
      </c>
      <c r="C215" s="18" t="s">
        <v>172</v>
      </c>
      <c r="D215" s="18" t="s">
        <v>47</v>
      </c>
      <c r="E215" s="18" t="s">
        <v>163</v>
      </c>
      <c r="F215" s="18" t="n">
        <v>2603</v>
      </c>
      <c r="G215" s="18" t="s">
        <v>127</v>
      </c>
      <c r="H215" s="18" t="s">
        <v>279</v>
      </c>
      <c r="I215" s="18" t="s">
        <v>23</v>
      </c>
      <c r="J215" s="18" t="s">
        <v>13</v>
      </c>
      <c r="K215" s="18" t="s">
        <v>12</v>
      </c>
      <c r="L215" s="18" t="s">
        <v>125</v>
      </c>
      <c r="M215" s="18" t="s">
        <v>125</v>
      </c>
      <c r="N215" s="18" t="s">
        <v>125</v>
      </c>
      <c r="O215" s="18"/>
      <c r="P215" s="19" t="n">
        <v>46100.125</v>
      </c>
      <c r="Q215" s="19" t="n">
        <v>46100.375</v>
      </c>
      <c r="R215" s="19" t="n">
        <v>46100.7916666667</v>
      </c>
      <c r="S215" s="20" t="n">
        <f aca="false">ROUND((Q215-P215)*24,4)</f>
        <v>6</v>
      </c>
      <c r="T215" s="18" t="str">
        <f aca="false">TEXT(P215,"YYYY-MM")</f>
        <v>2026-03</v>
      </c>
      <c r="U215" s="18" t="n">
        <f aca="false">RANK(S215,$S$2:$S$670)+COUNTIF($S$2:S215,S215)-1</f>
        <v>211</v>
      </c>
      <c r="V215" s="20" t="n">
        <f aca="false">ROUND((R215-Q215)*24,4)</f>
        <v>10</v>
      </c>
      <c r="W215" s="20" t="n">
        <f aca="false">ROUND((R215-P215)*24,4)</f>
        <v>16</v>
      </c>
      <c r="X215" s="18" t="str">
        <f aca="false">TEXT(P215,"dddd")</f>
        <v>Thursday</v>
      </c>
      <c r="Y215" s="18" t="n">
        <f aca="false">HOUR(Q215)</f>
        <v>9</v>
      </c>
    </row>
    <row r="216" customFormat="false" ht="15" hidden="false" customHeight="false" outlineLevel="0" collapsed="false">
      <c r="A216" s="18" t="s">
        <v>35</v>
      </c>
      <c r="B216" s="18" t="s">
        <v>166</v>
      </c>
      <c r="C216" s="18" t="s">
        <v>167</v>
      </c>
      <c r="D216" s="18" t="s">
        <v>47</v>
      </c>
      <c r="E216" s="18" t="s">
        <v>168</v>
      </c>
      <c r="F216" s="18" t="n">
        <v>2603</v>
      </c>
      <c r="G216" s="18" t="s">
        <v>125</v>
      </c>
      <c r="H216" s="18" t="s">
        <v>280</v>
      </c>
      <c r="I216" s="18" t="s">
        <v>19</v>
      </c>
      <c r="J216" s="18" t="s">
        <v>12</v>
      </c>
      <c r="K216" s="18" t="s">
        <v>13</v>
      </c>
      <c r="L216" s="18" t="s">
        <v>125</v>
      </c>
      <c r="M216" s="18" t="s">
        <v>125</v>
      </c>
      <c r="N216" s="18" t="s">
        <v>125</v>
      </c>
      <c r="O216" s="18"/>
      <c r="P216" s="19" t="n">
        <v>46100.1458333333</v>
      </c>
      <c r="Q216" s="19" t="n">
        <v>46100.75</v>
      </c>
      <c r="R216" s="19" t="n">
        <v>46102.125</v>
      </c>
      <c r="S216" s="20" t="n">
        <f aca="false">ROUND((Q216-P216)*24,4)</f>
        <v>14.5</v>
      </c>
      <c r="T216" s="18" t="str">
        <f aca="false">TEXT(P216,"YYYY-MM")</f>
        <v>2026-03</v>
      </c>
      <c r="U216" s="18" t="n">
        <f aca="false">RANK(S216,$S$2:$S$670)+COUNTIF($S$2:S216,S216)-1</f>
        <v>87</v>
      </c>
      <c r="V216" s="20" t="n">
        <f aca="false">ROUND((R216-Q216)*24,4)</f>
        <v>33</v>
      </c>
      <c r="W216" s="20" t="n">
        <f aca="false">ROUND((R216-P216)*24,4)</f>
        <v>47.5</v>
      </c>
      <c r="X216" s="18" t="str">
        <f aca="false">TEXT(P216,"dddd")</f>
        <v>Thursday</v>
      </c>
      <c r="Y216" s="18" t="n">
        <f aca="false">HOUR(Q216)</f>
        <v>18</v>
      </c>
    </row>
    <row r="217" customFormat="false" ht="15" hidden="false" customHeight="false" outlineLevel="0" collapsed="false">
      <c r="A217" s="18" t="s">
        <v>32</v>
      </c>
      <c r="B217" s="18" t="s">
        <v>188</v>
      </c>
      <c r="C217" s="18" t="s">
        <v>189</v>
      </c>
      <c r="D217" s="18" t="s">
        <v>46</v>
      </c>
      <c r="E217" s="18" t="s">
        <v>163</v>
      </c>
      <c r="F217" s="18" t="n">
        <v>2603</v>
      </c>
      <c r="G217" s="18" t="s">
        <v>125</v>
      </c>
      <c r="H217" s="18" t="s">
        <v>280</v>
      </c>
      <c r="I217" s="18" t="s">
        <v>17</v>
      </c>
      <c r="J217" s="18" t="s">
        <v>12</v>
      </c>
      <c r="K217" s="18" t="s">
        <v>13</v>
      </c>
      <c r="L217" s="18" t="s">
        <v>125</v>
      </c>
      <c r="M217" s="18" t="s">
        <v>125</v>
      </c>
      <c r="N217" s="18" t="s">
        <v>125</v>
      </c>
      <c r="O217" s="18"/>
      <c r="P217" s="19" t="n">
        <v>46100.4166666667</v>
      </c>
      <c r="Q217" s="19" t="n">
        <v>46101.7458333333</v>
      </c>
      <c r="R217" s="19" t="n">
        <v>46102.7958333333</v>
      </c>
      <c r="S217" s="20" t="n">
        <f aca="false">ROUND((Q217-P217)*24,4)</f>
        <v>31.9</v>
      </c>
      <c r="T217" s="18" t="str">
        <f aca="false">TEXT(P217,"YYYY-MM")</f>
        <v>2026-03</v>
      </c>
      <c r="U217" s="18" t="n">
        <f aca="false">RANK(S217,$S$2:$S$670)+COUNTIF($S$2:S217,S217)-1</f>
        <v>18</v>
      </c>
      <c r="V217" s="20" t="n">
        <f aca="false">ROUND((R217-Q217)*24,4)</f>
        <v>25.2</v>
      </c>
      <c r="W217" s="20" t="n">
        <f aca="false">ROUND((R217-P217)*24,4)</f>
        <v>57.1</v>
      </c>
      <c r="X217" s="18" t="str">
        <f aca="false">TEXT(P217,"dddd")</f>
        <v>Thursday</v>
      </c>
      <c r="Y217" s="18" t="n">
        <f aca="false">HOUR(Q217)</f>
        <v>17</v>
      </c>
    </row>
    <row r="218" customFormat="false" ht="15" hidden="false" customHeight="false" outlineLevel="0" collapsed="false">
      <c r="A218" s="18" t="s">
        <v>39</v>
      </c>
      <c r="B218" s="18" t="s">
        <v>287</v>
      </c>
      <c r="C218" s="18" t="s">
        <v>288</v>
      </c>
      <c r="D218" s="18" t="s">
        <v>46</v>
      </c>
      <c r="E218" s="18" t="s">
        <v>176</v>
      </c>
      <c r="F218" s="18" t="n">
        <v>2602</v>
      </c>
      <c r="G218" s="18" t="s">
        <v>125</v>
      </c>
      <c r="H218" s="18" t="s">
        <v>260</v>
      </c>
      <c r="I218" s="18" t="s">
        <v>21</v>
      </c>
      <c r="J218" s="18" t="s">
        <v>13</v>
      </c>
      <c r="K218" s="18" t="s">
        <v>216</v>
      </c>
      <c r="L218" s="18" t="s">
        <v>125</v>
      </c>
      <c r="M218" s="18" t="s">
        <v>125</v>
      </c>
      <c r="N218" s="18" t="s">
        <v>125</v>
      </c>
      <c r="O218" s="18"/>
      <c r="P218" s="19" t="n">
        <v>46100.4791666667</v>
      </c>
      <c r="Q218" s="19" t="n">
        <v>46100.5208333333</v>
      </c>
      <c r="R218" s="19" t="n">
        <v>46101.4291666667</v>
      </c>
      <c r="S218" s="20" t="n">
        <f aca="false">ROUND((Q218-P218)*24,4)</f>
        <v>1</v>
      </c>
      <c r="T218" s="18" t="str">
        <f aca="false">TEXT(P218,"YYYY-MM")</f>
        <v>2026-03</v>
      </c>
      <c r="U218" s="18" t="n">
        <f aca="false">RANK(S218,$S$2:$S$670)+COUNTIF($S$2:S218,S218)-1</f>
        <v>433</v>
      </c>
      <c r="V218" s="20" t="n">
        <f aca="false">ROUND((R218-Q218)*24,4)</f>
        <v>21.8</v>
      </c>
      <c r="W218" s="20" t="n">
        <f aca="false">ROUND((R218-P218)*24,4)</f>
        <v>22.8</v>
      </c>
      <c r="X218" s="18" t="str">
        <f aca="false">TEXT(P218,"dddd")</f>
        <v>Thursday</v>
      </c>
      <c r="Y218" s="18" t="n">
        <f aca="false">HOUR(Q218)</f>
        <v>12</v>
      </c>
    </row>
    <row r="219" customFormat="false" ht="15" hidden="false" customHeight="false" outlineLevel="0" collapsed="false">
      <c r="A219" s="18" t="s">
        <v>34</v>
      </c>
      <c r="B219" s="18" t="s">
        <v>171</v>
      </c>
      <c r="C219" s="18" t="s">
        <v>172</v>
      </c>
      <c r="D219" s="18" t="s">
        <v>47</v>
      </c>
      <c r="E219" s="18" t="s">
        <v>176</v>
      </c>
      <c r="F219" s="18" t="n">
        <v>2603</v>
      </c>
      <c r="G219" s="18" t="s">
        <v>125</v>
      </c>
      <c r="H219" s="18" t="s">
        <v>280</v>
      </c>
      <c r="I219" s="18" t="s">
        <v>17</v>
      </c>
      <c r="J219" s="18" t="s">
        <v>12</v>
      </c>
      <c r="K219" s="18" t="s">
        <v>13</v>
      </c>
      <c r="L219" s="18" t="s">
        <v>125</v>
      </c>
      <c r="M219" s="18" t="s">
        <v>125</v>
      </c>
      <c r="N219" s="18" t="s">
        <v>125</v>
      </c>
      <c r="O219" s="18"/>
      <c r="P219" s="19" t="n">
        <v>46100.875</v>
      </c>
      <c r="Q219" s="19" t="n">
        <v>46102.2916666667</v>
      </c>
      <c r="R219" s="19" t="n">
        <v>46103.625</v>
      </c>
      <c r="S219" s="20" t="n">
        <f aca="false">ROUND((Q219-P219)*24,4)</f>
        <v>34</v>
      </c>
      <c r="T219" s="18" t="str">
        <f aca="false">TEXT(P219,"YYYY-MM")</f>
        <v>2026-03</v>
      </c>
      <c r="U219" s="18" t="n">
        <f aca="false">RANK(S219,$S$2:$S$670)+COUNTIF($S$2:S219,S219)-1</f>
        <v>17</v>
      </c>
      <c r="V219" s="20" t="n">
        <f aca="false">ROUND((R219-Q219)*24,4)</f>
        <v>32</v>
      </c>
      <c r="W219" s="20" t="n">
        <f aca="false">ROUND((R219-P219)*24,4)</f>
        <v>66</v>
      </c>
      <c r="X219" s="18" t="str">
        <f aca="false">TEXT(P219,"dddd")</f>
        <v>Thursday</v>
      </c>
      <c r="Y219" s="18" t="n">
        <f aca="false">HOUR(Q219)</f>
        <v>7</v>
      </c>
    </row>
    <row r="220" customFormat="false" ht="15" hidden="false" customHeight="false" outlineLevel="0" collapsed="false">
      <c r="A220" s="18" t="s">
        <v>36</v>
      </c>
      <c r="B220" s="18" t="s">
        <v>267</v>
      </c>
      <c r="C220" s="18" t="s">
        <v>268</v>
      </c>
      <c r="D220" s="18" t="s">
        <v>46</v>
      </c>
      <c r="E220" s="18" t="s">
        <v>168</v>
      </c>
      <c r="F220" s="18" t="n">
        <v>2607</v>
      </c>
      <c r="G220" s="18" t="s">
        <v>127</v>
      </c>
      <c r="H220" s="18" t="s">
        <v>289</v>
      </c>
      <c r="I220" s="18" t="s">
        <v>23</v>
      </c>
      <c r="J220" s="18" t="s">
        <v>13</v>
      </c>
      <c r="K220" s="18" t="s">
        <v>12</v>
      </c>
      <c r="L220" s="18" t="s">
        <v>125</v>
      </c>
      <c r="M220" s="18" t="s">
        <v>125</v>
      </c>
      <c r="N220" s="18" t="s">
        <v>125</v>
      </c>
      <c r="O220" s="18"/>
      <c r="P220" s="19" t="n">
        <v>46101.1666666667</v>
      </c>
      <c r="Q220" s="19" t="n">
        <v>46101.2083333333</v>
      </c>
      <c r="R220" s="19" t="n">
        <v>46101.4583333333</v>
      </c>
      <c r="S220" s="20" t="n">
        <f aca="false">ROUND((Q220-P220)*24,4)</f>
        <v>1</v>
      </c>
      <c r="T220" s="18" t="str">
        <f aca="false">TEXT(P220,"YYYY-MM")</f>
        <v>2026-03</v>
      </c>
      <c r="U220" s="18" t="n">
        <f aca="false">RANK(S220,$S$2:$S$670)+COUNTIF($S$2:S220,S220)-1</f>
        <v>434</v>
      </c>
      <c r="V220" s="20" t="n">
        <f aca="false">ROUND((R220-Q220)*24,4)</f>
        <v>6</v>
      </c>
      <c r="W220" s="20" t="n">
        <f aca="false">ROUND((R220-P220)*24,4)</f>
        <v>7</v>
      </c>
      <c r="X220" s="18" t="str">
        <f aca="false">TEXT(P220,"dddd")</f>
        <v>Friday</v>
      </c>
      <c r="Y220" s="18" t="n">
        <f aca="false">HOUR(Q220)</f>
        <v>5</v>
      </c>
    </row>
    <row r="221" customFormat="false" ht="15" hidden="false" customHeight="false" outlineLevel="0" collapsed="false">
      <c r="A221" s="18" t="s">
        <v>38</v>
      </c>
      <c r="B221" s="18" t="s">
        <v>211</v>
      </c>
      <c r="C221" s="18" t="s">
        <v>212</v>
      </c>
      <c r="D221" s="18" t="s">
        <v>47</v>
      </c>
      <c r="E221" s="18" t="s">
        <v>163</v>
      </c>
      <c r="F221" s="18" t="n">
        <v>2602</v>
      </c>
      <c r="G221" s="18" t="s">
        <v>127</v>
      </c>
      <c r="H221" s="18" t="s">
        <v>259</v>
      </c>
      <c r="I221" s="18" t="s">
        <v>23</v>
      </c>
      <c r="J221" s="18" t="s">
        <v>13</v>
      </c>
      <c r="K221" s="18" t="s">
        <v>181</v>
      </c>
      <c r="L221" s="18" t="s">
        <v>125</v>
      </c>
      <c r="M221" s="18" t="s">
        <v>125</v>
      </c>
      <c r="N221" s="18" t="s">
        <v>125</v>
      </c>
      <c r="O221" s="18"/>
      <c r="P221" s="19" t="n">
        <v>46101.4166666667</v>
      </c>
      <c r="Q221" s="19" t="n">
        <v>46101.8333333333</v>
      </c>
      <c r="R221" s="19" t="n">
        <v>46102.7083333333</v>
      </c>
      <c r="S221" s="20" t="n">
        <f aca="false">ROUND((Q221-P221)*24,4)</f>
        <v>10</v>
      </c>
      <c r="T221" s="18" t="str">
        <f aca="false">TEXT(P221,"YYYY-MM")</f>
        <v>2026-03</v>
      </c>
      <c r="U221" s="18" t="n">
        <f aca="false">RANK(S221,$S$2:$S$670)+COUNTIF($S$2:S221,S221)-1</f>
        <v>141</v>
      </c>
      <c r="V221" s="20" t="n">
        <f aca="false">ROUND((R221-Q221)*24,4)</f>
        <v>21</v>
      </c>
      <c r="W221" s="20" t="n">
        <f aca="false">ROUND((R221-P221)*24,4)</f>
        <v>31</v>
      </c>
      <c r="X221" s="18" t="str">
        <f aca="false">TEXT(P221,"dddd")</f>
        <v>Friday</v>
      </c>
      <c r="Y221" s="18" t="n">
        <f aca="false">HOUR(Q221)</f>
        <v>20</v>
      </c>
    </row>
    <row r="222" customFormat="false" ht="15" hidden="false" customHeight="false" outlineLevel="0" collapsed="false">
      <c r="A222" s="18" t="s">
        <v>36</v>
      </c>
      <c r="B222" s="18" t="s">
        <v>267</v>
      </c>
      <c r="C222" s="18" t="s">
        <v>268</v>
      </c>
      <c r="D222" s="18" t="s">
        <v>46</v>
      </c>
      <c r="E222" s="18" t="s">
        <v>163</v>
      </c>
      <c r="F222" s="18" t="n">
        <v>2607</v>
      </c>
      <c r="G222" s="18" t="s">
        <v>125</v>
      </c>
      <c r="H222" s="18" t="s">
        <v>290</v>
      </c>
      <c r="I222" s="18" t="s">
        <v>17</v>
      </c>
      <c r="J222" s="18" t="s">
        <v>12</v>
      </c>
      <c r="K222" s="18" t="s">
        <v>13</v>
      </c>
      <c r="L222" s="18" t="s">
        <v>125</v>
      </c>
      <c r="M222" s="18" t="s">
        <v>125</v>
      </c>
      <c r="N222" s="18" t="s">
        <v>125</v>
      </c>
      <c r="O222" s="18"/>
      <c r="P222" s="19" t="n">
        <v>46101.5416666667</v>
      </c>
      <c r="Q222" s="19" t="n">
        <v>46102.8333333333</v>
      </c>
      <c r="R222" s="19" t="n">
        <v>46104.1666666667</v>
      </c>
      <c r="S222" s="20" t="n">
        <f aca="false">ROUND((Q222-P222)*24,4)</f>
        <v>31</v>
      </c>
      <c r="T222" s="18" t="str">
        <f aca="false">TEXT(P222,"YYYY-MM")</f>
        <v>2026-03</v>
      </c>
      <c r="U222" s="18" t="n">
        <f aca="false">RANK(S222,$S$2:$S$670)+COUNTIF($S$2:S222,S222)-1</f>
        <v>19</v>
      </c>
      <c r="V222" s="20" t="n">
        <f aca="false">ROUND((R222-Q222)*24,4)</f>
        <v>32</v>
      </c>
      <c r="W222" s="20" t="n">
        <f aca="false">ROUND((R222-P222)*24,4)</f>
        <v>63</v>
      </c>
      <c r="X222" s="18" t="str">
        <f aca="false">TEXT(P222,"dddd")</f>
        <v>Friday</v>
      </c>
      <c r="Y222" s="18" t="n">
        <f aca="false">HOUR(Q222)</f>
        <v>20</v>
      </c>
    </row>
    <row r="223" customFormat="false" ht="15" hidden="false" customHeight="false" outlineLevel="0" collapsed="false">
      <c r="A223" s="18" t="s">
        <v>37</v>
      </c>
      <c r="B223" s="18" t="s">
        <v>242</v>
      </c>
      <c r="C223" s="18" t="s">
        <v>243</v>
      </c>
      <c r="D223" s="18" t="s">
        <v>46</v>
      </c>
      <c r="E223" s="18" t="s">
        <v>163</v>
      </c>
      <c r="F223" s="18" t="n">
        <v>2603</v>
      </c>
      <c r="G223" s="18" t="s">
        <v>127</v>
      </c>
      <c r="H223" s="18" t="s">
        <v>279</v>
      </c>
      <c r="I223" s="18" t="s">
        <v>20</v>
      </c>
      <c r="J223" s="18" t="s">
        <v>13</v>
      </c>
      <c r="K223" s="18" t="s">
        <v>12</v>
      </c>
      <c r="L223" s="18" t="s">
        <v>125</v>
      </c>
      <c r="M223" s="18" t="s">
        <v>125</v>
      </c>
      <c r="N223" s="18" t="s">
        <v>125</v>
      </c>
      <c r="O223" s="18"/>
      <c r="P223" s="19" t="n">
        <v>46101.5416666667</v>
      </c>
      <c r="Q223" s="19" t="n">
        <v>46101.5833333333</v>
      </c>
      <c r="R223" s="19" t="n">
        <v>46102.0208333333</v>
      </c>
      <c r="S223" s="20" t="n">
        <f aca="false">ROUND((Q223-P223)*24,4)</f>
        <v>1</v>
      </c>
      <c r="T223" s="18" t="str">
        <f aca="false">TEXT(P223,"YYYY-MM")</f>
        <v>2026-03</v>
      </c>
      <c r="U223" s="18" t="n">
        <f aca="false">RANK(S223,$S$2:$S$670)+COUNTIF($S$2:S223,S223)-1</f>
        <v>435</v>
      </c>
      <c r="V223" s="20" t="n">
        <f aca="false">ROUND((R223-Q223)*24,4)</f>
        <v>10.5</v>
      </c>
      <c r="W223" s="20" t="n">
        <f aca="false">ROUND((R223-P223)*24,4)</f>
        <v>11.5</v>
      </c>
      <c r="X223" s="18" t="str">
        <f aca="false">TEXT(P223,"dddd")</f>
        <v>Friday</v>
      </c>
      <c r="Y223" s="18" t="n">
        <f aca="false">HOUR(Q223)</f>
        <v>14</v>
      </c>
    </row>
    <row r="224" customFormat="false" ht="15" hidden="false" customHeight="false" outlineLevel="0" collapsed="false">
      <c r="A224" s="18" t="s">
        <v>37</v>
      </c>
      <c r="B224" s="18" t="s">
        <v>242</v>
      </c>
      <c r="C224" s="18" t="s">
        <v>243</v>
      </c>
      <c r="D224" s="18" t="s">
        <v>46</v>
      </c>
      <c r="E224" s="18" t="s">
        <v>176</v>
      </c>
      <c r="F224" s="18" t="n">
        <v>2603</v>
      </c>
      <c r="G224" s="18" t="s">
        <v>125</v>
      </c>
      <c r="H224" s="18" t="s">
        <v>280</v>
      </c>
      <c r="I224" s="18" t="s">
        <v>19</v>
      </c>
      <c r="J224" s="18" t="s">
        <v>12</v>
      </c>
      <c r="K224" s="18" t="s">
        <v>13</v>
      </c>
      <c r="L224" s="18" t="s">
        <v>125</v>
      </c>
      <c r="M224" s="18" t="s">
        <v>125</v>
      </c>
      <c r="N224" s="18" t="s">
        <v>125</v>
      </c>
      <c r="O224" s="18"/>
      <c r="P224" s="19" t="n">
        <v>46102.1041666667</v>
      </c>
      <c r="Q224" s="19" t="n">
        <v>46103.3125</v>
      </c>
      <c r="R224" s="19" t="n">
        <v>46104.75</v>
      </c>
      <c r="S224" s="20" t="n">
        <f aca="false">ROUND((Q224-P224)*24,4)</f>
        <v>29</v>
      </c>
      <c r="T224" s="18" t="str">
        <f aca="false">TEXT(P224,"YYYY-MM")</f>
        <v>2026-03</v>
      </c>
      <c r="U224" s="18" t="n">
        <f aca="false">RANK(S224,$S$2:$S$670)+COUNTIF($S$2:S224,S224)-1</f>
        <v>23</v>
      </c>
      <c r="V224" s="20" t="n">
        <f aca="false">ROUND((R224-Q224)*24,4)</f>
        <v>34.5</v>
      </c>
      <c r="W224" s="20" t="n">
        <f aca="false">ROUND((R224-P224)*24,4)</f>
        <v>63.5</v>
      </c>
      <c r="X224" s="18" t="str">
        <f aca="false">TEXT(P224,"dddd")</f>
        <v>Saturday</v>
      </c>
      <c r="Y224" s="18" t="n">
        <f aca="false">HOUR(Q224)</f>
        <v>7</v>
      </c>
    </row>
    <row r="225" customFormat="false" ht="15" hidden="false" customHeight="false" outlineLevel="0" collapsed="false">
      <c r="A225" s="18" t="s">
        <v>35</v>
      </c>
      <c r="B225" s="18" t="s">
        <v>166</v>
      </c>
      <c r="C225" s="18" t="s">
        <v>167</v>
      </c>
      <c r="D225" s="18" t="s">
        <v>47</v>
      </c>
      <c r="E225" s="18" t="s">
        <v>163</v>
      </c>
      <c r="F225" s="18" t="n">
        <v>2603</v>
      </c>
      <c r="G225" s="18" t="s">
        <v>125</v>
      </c>
      <c r="H225" s="18" t="s">
        <v>280</v>
      </c>
      <c r="I225" s="18" t="s">
        <v>22</v>
      </c>
      <c r="J225" s="18" t="s">
        <v>13</v>
      </c>
      <c r="K225" s="18" t="s">
        <v>186</v>
      </c>
      <c r="L225" s="18" t="s">
        <v>125</v>
      </c>
      <c r="M225" s="18" t="s">
        <v>144</v>
      </c>
      <c r="N225" s="18" t="s">
        <v>125</v>
      </c>
      <c r="O225" s="18"/>
      <c r="P225" s="19" t="n">
        <v>46102.3541666667</v>
      </c>
      <c r="Q225" s="19" t="n">
        <v>46102.9166666667</v>
      </c>
      <c r="R225" s="19" t="n">
        <v>46103.3125</v>
      </c>
      <c r="S225" s="20" t="n">
        <f aca="false">ROUND((Q225-P225)*24,4)</f>
        <v>13.5</v>
      </c>
      <c r="T225" s="18" t="str">
        <f aca="false">TEXT(P225,"YYYY-MM")</f>
        <v>2026-03</v>
      </c>
      <c r="U225" s="18" t="n">
        <f aca="false">RANK(S225,$S$2:$S$670)+COUNTIF($S$2:S225,S225)-1</f>
        <v>100</v>
      </c>
      <c r="V225" s="20" t="n">
        <f aca="false">ROUND((R225-Q225)*24,4)</f>
        <v>9.5</v>
      </c>
      <c r="W225" s="20" t="n">
        <f aca="false">ROUND((R225-P225)*24,4)</f>
        <v>23</v>
      </c>
      <c r="X225" s="18" t="str">
        <f aca="false">TEXT(P225,"dddd")</f>
        <v>Saturday</v>
      </c>
      <c r="Y225" s="18" t="n">
        <f aca="false">HOUR(Q225)</f>
        <v>22</v>
      </c>
    </row>
    <row r="226" customFormat="false" ht="15" hidden="false" customHeight="false" outlineLevel="0" collapsed="false">
      <c r="A226" s="18" t="s">
        <v>31</v>
      </c>
      <c r="B226" s="18" t="s">
        <v>203</v>
      </c>
      <c r="C226" s="18" t="s">
        <v>204</v>
      </c>
      <c r="D226" s="18" t="s">
        <v>48</v>
      </c>
      <c r="E226" s="18" t="s">
        <v>198</v>
      </c>
      <c r="F226" s="18" t="n">
        <v>2603</v>
      </c>
      <c r="G226" s="18" t="s">
        <v>127</v>
      </c>
      <c r="H226" s="18" t="s">
        <v>279</v>
      </c>
      <c r="I226" s="18" t="s">
        <v>24</v>
      </c>
      <c r="J226" s="18" t="s">
        <v>13</v>
      </c>
      <c r="K226" s="18" t="s">
        <v>12</v>
      </c>
      <c r="L226" s="18" t="s">
        <v>125</v>
      </c>
      <c r="M226" s="18" t="s">
        <v>125</v>
      </c>
      <c r="N226" s="18" t="s">
        <v>125</v>
      </c>
      <c r="O226" s="18" t="s">
        <v>206</v>
      </c>
      <c r="P226" s="19" t="n">
        <v>46102.6875</v>
      </c>
      <c r="Q226" s="19" t="n">
        <v>46102.7083333333</v>
      </c>
      <c r="R226" s="19" t="n">
        <v>46103.0375</v>
      </c>
      <c r="S226" s="20" t="n">
        <f aca="false">ROUND((Q226-P226)*24,4)</f>
        <v>0.5</v>
      </c>
      <c r="T226" s="18" t="str">
        <f aca="false">TEXT(P226,"YYYY-MM")</f>
        <v>2026-03</v>
      </c>
      <c r="U226" s="18" t="n">
        <f aca="false">RANK(S226,$S$2:$S$670)+COUNTIF($S$2:S226,S226)-1</f>
        <v>611</v>
      </c>
      <c r="V226" s="20" t="n">
        <f aca="false">ROUND((R226-Q226)*24,4)</f>
        <v>7.9</v>
      </c>
      <c r="W226" s="20" t="n">
        <f aca="false">ROUND((R226-P226)*24,4)</f>
        <v>8.4</v>
      </c>
      <c r="X226" s="18" t="str">
        <f aca="false">TEXT(P226,"dddd")</f>
        <v>Saturday</v>
      </c>
      <c r="Y226" s="18" t="n">
        <f aca="false">HOUR(Q226)</f>
        <v>17</v>
      </c>
    </row>
    <row r="227" customFormat="false" ht="15" hidden="false" customHeight="false" outlineLevel="0" collapsed="false">
      <c r="A227" s="18" t="s">
        <v>31</v>
      </c>
      <c r="B227" s="18" t="s">
        <v>203</v>
      </c>
      <c r="C227" s="18" t="s">
        <v>204</v>
      </c>
      <c r="D227" s="18" t="s">
        <v>48</v>
      </c>
      <c r="E227" s="18" t="s">
        <v>168</v>
      </c>
      <c r="F227" s="18" t="n">
        <v>2603</v>
      </c>
      <c r="G227" s="18" t="s">
        <v>125</v>
      </c>
      <c r="H227" s="18" t="s">
        <v>280</v>
      </c>
      <c r="I227" s="18" t="s">
        <v>18</v>
      </c>
      <c r="J227" s="18" t="s">
        <v>12</v>
      </c>
      <c r="K227" s="18" t="s">
        <v>13</v>
      </c>
      <c r="L227" s="18" t="s">
        <v>125</v>
      </c>
      <c r="M227" s="18" t="s">
        <v>125</v>
      </c>
      <c r="N227" s="18" t="s">
        <v>125</v>
      </c>
      <c r="O227" s="18" t="s">
        <v>206</v>
      </c>
      <c r="P227" s="19" t="n">
        <v>46103.1875</v>
      </c>
      <c r="Q227" s="19" t="n">
        <v>46103.2291666667</v>
      </c>
      <c r="R227" s="19" t="n">
        <v>46103.8541666667</v>
      </c>
      <c r="S227" s="20" t="n">
        <f aca="false">ROUND((Q227-P227)*24,4)</f>
        <v>1</v>
      </c>
      <c r="T227" s="18" t="str">
        <f aca="false">TEXT(P227,"YYYY-MM")</f>
        <v>2026-03</v>
      </c>
      <c r="U227" s="18" t="n">
        <f aca="false">RANK(S227,$S$2:$S$670)+COUNTIF($S$2:S227,S227)-1</f>
        <v>436</v>
      </c>
      <c r="V227" s="20" t="n">
        <f aca="false">ROUND((R227-Q227)*24,4)</f>
        <v>15</v>
      </c>
      <c r="W227" s="20" t="n">
        <f aca="false">ROUND((R227-P227)*24,4)</f>
        <v>16</v>
      </c>
      <c r="X227" s="18" t="str">
        <f aca="false">TEXT(P227,"dddd")</f>
        <v>Sunday</v>
      </c>
      <c r="Y227" s="18" t="n">
        <f aca="false">HOUR(Q227)</f>
        <v>5</v>
      </c>
    </row>
    <row r="228" customFormat="false" ht="15" hidden="false" customHeight="false" outlineLevel="0" collapsed="false">
      <c r="A228" s="18" t="s">
        <v>32</v>
      </c>
      <c r="B228" s="18" t="s">
        <v>188</v>
      </c>
      <c r="C228" s="18" t="s">
        <v>189</v>
      </c>
      <c r="D228" s="18" t="s">
        <v>46</v>
      </c>
      <c r="E228" s="18" t="s">
        <v>176</v>
      </c>
      <c r="F228" s="18" t="n">
        <v>2603</v>
      </c>
      <c r="G228" s="18" t="s">
        <v>125</v>
      </c>
      <c r="H228" s="18" t="s">
        <v>280</v>
      </c>
      <c r="I228" s="18" t="s">
        <v>23</v>
      </c>
      <c r="J228" s="18" t="s">
        <v>13</v>
      </c>
      <c r="K228" s="18" t="s">
        <v>186</v>
      </c>
      <c r="L228" s="18" t="s">
        <v>125</v>
      </c>
      <c r="M228" s="18" t="s">
        <v>125</v>
      </c>
      <c r="N228" s="18" t="s">
        <v>125</v>
      </c>
      <c r="O228" s="18"/>
      <c r="P228" s="19" t="n">
        <v>46103.7881944445</v>
      </c>
      <c r="Q228" s="19" t="n">
        <v>46103.825</v>
      </c>
      <c r="R228" s="19" t="n">
        <v>46104.1958333333</v>
      </c>
      <c r="S228" s="20" t="n">
        <f aca="false">ROUND((Q228-P228)*24,4)</f>
        <v>0.8833</v>
      </c>
      <c r="T228" s="18" t="str">
        <f aca="false">TEXT(P228,"YYYY-MM")</f>
        <v>2026-03</v>
      </c>
      <c r="U228" s="18" t="n">
        <f aca="false">RANK(S228,$S$2:$S$670)+COUNTIF($S$2:S228,S228)-1</f>
        <v>583</v>
      </c>
      <c r="V228" s="20" t="n">
        <f aca="false">ROUND((R228-Q228)*24,4)</f>
        <v>8.9</v>
      </c>
      <c r="W228" s="20" t="n">
        <f aca="false">ROUND((R228-P228)*24,4)</f>
        <v>9.7833</v>
      </c>
      <c r="X228" s="18" t="str">
        <f aca="false">TEXT(P228,"dddd")</f>
        <v>Sunday</v>
      </c>
      <c r="Y228" s="18" t="n">
        <f aca="false">HOUR(Q228)</f>
        <v>19</v>
      </c>
    </row>
    <row r="229" customFormat="false" ht="15" hidden="false" customHeight="false" outlineLevel="0" collapsed="false">
      <c r="A229" s="18" t="s">
        <v>34</v>
      </c>
      <c r="B229" s="18" t="s">
        <v>171</v>
      </c>
      <c r="C229" s="18" t="s">
        <v>172</v>
      </c>
      <c r="D229" s="18" t="s">
        <v>47</v>
      </c>
      <c r="E229" s="18" t="s">
        <v>185</v>
      </c>
      <c r="F229" s="18" t="n">
        <v>2603</v>
      </c>
      <c r="G229" s="18" t="s">
        <v>125</v>
      </c>
      <c r="H229" s="18" t="s">
        <v>280</v>
      </c>
      <c r="I229" s="18" t="s">
        <v>23</v>
      </c>
      <c r="J229" s="18" t="s">
        <v>13</v>
      </c>
      <c r="K229" s="18" t="s">
        <v>165</v>
      </c>
      <c r="L229" s="18" t="s">
        <v>125</v>
      </c>
      <c r="M229" s="18" t="s">
        <v>125</v>
      </c>
      <c r="N229" s="18" t="s">
        <v>125</v>
      </c>
      <c r="O229" s="18"/>
      <c r="P229" s="19" t="n">
        <v>46103.8333333333</v>
      </c>
      <c r="Q229" s="19" t="n">
        <v>46104.4583333333</v>
      </c>
      <c r="R229" s="19" t="n">
        <v>46104.7916666667</v>
      </c>
      <c r="S229" s="20" t="n">
        <f aca="false">ROUND((Q229-P229)*24,4)</f>
        <v>15</v>
      </c>
      <c r="T229" s="18" t="str">
        <f aca="false">TEXT(P229,"YYYY-MM")</f>
        <v>2026-03</v>
      </c>
      <c r="U229" s="18" t="n">
        <f aca="false">RANK(S229,$S$2:$S$670)+COUNTIF($S$2:S229,S229)-1</f>
        <v>78</v>
      </c>
      <c r="V229" s="20" t="n">
        <f aca="false">ROUND((R229-Q229)*24,4)</f>
        <v>8</v>
      </c>
      <c r="W229" s="20" t="n">
        <f aca="false">ROUND((R229-P229)*24,4)</f>
        <v>23</v>
      </c>
      <c r="X229" s="18" t="str">
        <f aca="false">TEXT(P229,"dddd")</f>
        <v>Sunday</v>
      </c>
      <c r="Y229" s="18" t="n">
        <f aca="false">HOUR(Q229)</f>
        <v>11</v>
      </c>
    </row>
    <row r="230" customFormat="false" ht="15" hidden="false" customHeight="false" outlineLevel="0" collapsed="false">
      <c r="A230" s="18" t="s">
        <v>31</v>
      </c>
      <c r="B230" s="18" t="s">
        <v>203</v>
      </c>
      <c r="C230" s="18" t="s">
        <v>204</v>
      </c>
      <c r="D230" s="18" t="s">
        <v>48</v>
      </c>
      <c r="E230" s="18" t="s">
        <v>163</v>
      </c>
      <c r="F230" s="18" t="n">
        <v>2603</v>
      </c>
      <c r="G230" s="18" t="s">
        <v>125</v>
      </c>
      <c r="H230" s="18" t="s">
        <v>280</v>
      </c>
      <c r="I230" s="18" t="s">
        <v>24</v>
      </c>
      <c r="J230" s="18" t="s">
        <v>13</v>
      </c>
      <c r="K230" s="18" t="s">
        <v>165</v>
      </c>
      <c r="L230" s="18" t="s">
        <v>125</v>
      </c>
      <c r="M230" s="18" t="s">
        <v>125</v>
      </c>
      <c r="N230" s="18" t="s">
        <v>125</v>
      </c>
      <c r="O230" s="18" t="s">
        <v>206</v>
      </c>
      <c r="P230" s="19" t="n">
        <v>46104.0416666667</v>
      </c>
      <c r="Q230" s="19" t="n">
        <v>46104.0833333333</v>
      </c>
      <c r="R230" s="19" t="n">
        <v>46104.4583333333</v>
      </c>
      <c r="S230" s="20" t="n">
        <f aca="false">ROUND((Q230-P230)*24,4)</f>
        <v>1</v>
      </c>
      <c r="T230" s="18" t="str">
        <f aca="false">TEXT(P230,"YYYY-MM")</f>
        <v>2026-03</v>
      </c>
      <c r="U230" s="18" t="n">
        <f aca="false">RANK(S230,$S$2:$S$670)+COUNTIF($S$2:S230,S230)-1</f>
        <v>437</v>
      </c>
      <c r="V230" s="20" t="n">
        <f aca="false">ROUND((R230-Q230)*24,4)</f>
        <v>9</v>
      </c>
      <c r="W230" s="20" t="n">
        <f aca="false">ROUND((R230-P230)*24,4)</f>
        <v>10</v>
      </c>
      <c r="X230" s="18" t="str">
        <f aca="false">TEXT(P230,"dddd")</f>
        <v>Monday</v>
      </c>
      <c r="Y230" s="18" t="n">
        <f aca="false">HOUR(Q230)</f>
        <v>2</v>
      </c>
    </row>
    <row r="231" customFormat="false" ht="15" hidden="false" customHeight="false" outlineLevel="0" collapsed="false">
      <c r="A231" s="18" t="s">
        <v>36</v>
      </c>
      <c r="B231" s="18" t="s">
        <v>267</v>
      </c>
      <c r="C231" s="18" t="s">
        <v>268</v>
      </c>
      <c r="D231" s="18" t="s">
        <v>46</v>
      </c>
      <c r="E231" s="18" t="s">
        <v>176</v>
      </c>
      <c r="F231" s="18" t="n">
        <v>2607</v>
      </c>
      <c r="G231" s="18" t="s">
        <v>125</v>
      </c>
      <c r="H231" s="18" t="s">
        <v>290</v>
      </c>
      <c r="I231" s="18" t="s">
        <v>23</v>
      </c>
      <c r="J231" s="18" t="s">
        <v>13</v>
      </c>
      <c r="K231" s="18" t="s">
        <v>186</v>
      </c>
      <c r="L231" s="18" t="s">
        <v>125</v>
      </c>
      <c r="M231" s="18" t="s">
        <v>125</v>
      </c>
      <c r="N231" s="18" t="s">
        <v>125</v>
      </c>
      <c r="O231" s="18"/>
      <c r="P231" s="19" t="n">
        <v>46104.5416666667</v>
      </c>
      <c r="Q231" s="19" t="n">
        <v>46104.8333333333</v>
      </c>
      <c r="R231" s="19" t="n">
        <v>46105.125</v>
      </c>
      <c r="S231" s="20" t="n">
        <f aca="false">ROUND((Q231-P231)*24,4)</f>
        <v>7</v>
      </c>
      <c r="T231" s="18" t="str">
        <f aca="false">TEXT(P231,"YYYY-MM")</f>
        <v>2026-03</v>
      </c>
      <c r="U231" s="18" t="n">
        <f aca="false">RANK(S231,$S$2:$S$670)+COUNTIF($S$2:S231,S231)-1</f>
        <v>187</v>
      </c>
      <c r="V231" s="20" t="n">
        <f aca="false">ROUND((R231-Q231)*24,4)</f>
        <v>7</v>
      </c>
      <c r="W231" s="20" t="n">
        <f aca="false">ROUND((R231-P231)*24,4)</f>
        <v>14</v>
      </c>
      <c r="X231" s="18" t="str">
        <f aca="false">TEXT(P231,"dddd")</f>
        <v>Monday</v>
      </c>
      <c r="Y231" s="18" t="n">
        <f aca="false">HOUR(Q231)</f>
        <v>20</v>
      </c>
    </row>
    <row r="232" customFormat="false" ht="15" hidden="false" customHeight="false" outlineLevel="0" collapsed="false">
      <c r="A232" s="18" t="s">
        <v>37</v>
      </c>
      <c r="B232" s="18" t="s">
        <v>242</v>
      </c>
      <c r="C232" s="18" t="s">
        <v>243</v>
      </c>
      <c r="D232" s="18" t="s">
        <v>46</v>
      </c>
      <c r="E232" s="18" t="s">
        <v>185</v>
      </c>
      <c r="F232" s="18" t="n">
        <v>2603</v>
      </c>
      <c r="G232" s="18" t="s">
        <v>125</v>
      </c>
      <c r="H232" s="18" t="s">
        <v>280</v>
      </c>
      <c r="I232" s="18" t="s">
        <v>20</v>
      </c>
      <c r="J232" s="18" t="s">
        <v>13</v>
      </c>
      <c r="K232" s="18" t="s">
        <v>165</v>
      </c>
      <c r="L232" s="18" t="s">
        <v>125</v>
      </c>
      <c r="M232" s="18" t="s">
        <v>125</v>
      </c>
      <c r="N232" s="18" t="s">
        <v>125</v>
      </c>
      <c r="O232" s="18"/>
      <c r="P232" s="19" t="n">
        <v>46105</v>
      </c>
      <c r="Q232" s="19" t="n">
        <v>46105.5833333333</v>
      </c>
      <c r="R232" s="19" t="n">
        <v>46106</v>
      </c>
      <c r="S232" s="20" t="n">
        <f aca="false">ROUND((Q232-P232)*24,4)</f>
        <v>14</v>
      </c>
      <c r="T232" s="18" t="str">
        <f aca="false">TEXT(P232,"YYYY-MM")</f>
        <v>2026-03</v>
      </c>
      <c r="U232" s="18" t="n">
        <f aca="false">RANK(S232,$S$2:$S$670)+COUNTIF($S$2:S232,S232)-1</f>
        <v>91</v>
      </c>
      <c r="V232" s="20" t="n">
        <f aca="false">ROUND((R232-Q232)*24,4)</f>
        <v>10</v>
      </c>
      <c r="W232" s="20" t="n">
        <f aca="false">ROUND((R232-P232)*24,4)</f>
        <v>24</v>
      </c>
      <c r="X232" s="18" t="str">
        <f aca="false">TEXT(P232,"dddd")</f>
        <v>Tuesday</v>
      </c>
      <c r="Y232" s="18" t="n">
        <f aca="false">HOUR(Q232)</f>
        <v>14</v>
      </c>
    </row>
    <row r="233" customFormat="false" ht="15" hidden="false" customHeight="false" outlineLevel="0" collapsed="false">
      <c r="A233" s="18" t="s">
        <v>33</v>
      </c>
      <c r="B233" s="18" t="s">
        <v>194</v>
      </c>
      <c r="C233" s="18" t="s">
        <v>195</v>
      </c>
      <c r="D233" s="18" t="s">
        <v>46</v>
      </c>
      <c r="E233" s="18" t="s">
        <v>163</v>
      </c>
      <c r="F233" s="18" t="n">
        <v>2603</v>
      </c>
      <c r="G233" s="18" t="s">
        <v>127</v>
      </c>
      <c r="H233" s="18" t="s">
        <v>279</v>
      </c>
      <c r="I233" s="18" t="s">
        <v>26</v>
      </c>
      <c r="J233" s="18" t="s">
        <v>13</v>
      </c>
      <c r="K233" s="18" t="s">
        <v>12</v>
      </c>
      <c r="L233" s="18" t="s">
        <v>125</v>
      </c>
      <c r="M233" s="18" t="s">
        <v>125</v>
      </c>
      <c r="N233" s="18" t="s">
        <v>144</v>
      </c>
      <c r="O233" s="18"/>
      <c r="P233" s="19" t="n">
        <v>46106.2916666667</v>
      </c>
      <c r="Q233" s="19" t="n">
        <v>46106.3333333333</v>
      </c>
      <c r="R233" s="19" t="n">
        <v>46106.625</v>
      </c>
      <c r="S233" s="20" t="n">
        <f aca="false">ROUND((Q233-P233)*24,4)</f>
        <v>1</v>
      </c>
      <c r="T233" s="18" t="str">
        <f aca="false">TEXT(P233,"YYYY-MM")</f>
        <v>2026-03</v>
      </c>
      <c r="U233" s="18" t="n">
        <f aca="false">RANK(S233,$S$2:$S$670)+COUNTIF($S$2:S233,S233)-1</f>
        <v>438</v>
      </c>
      <c r="V233" s="20" t="n">
        <f aca="false">ROUND((R233-Q233)*24,4)</f>
        <v>7</v>
      </c>
      <c r="W233" s="20" t="n">
        <f aca="false">ROUND((R233-P233)*24,4)</f>
        <v>8</v>
      </c>
      <c r="X233" s="18" t="str">
        <f aca="false">TEXT(P233,"dddd")</f>
        <v>Wednesday</v>
      </c>
      <c r="Y233" s="18" t="n">
        <f aca="false">HOUR(Q233)</f>
        <v>8</v>
      </c>
    </row>
    <row r="234" customFormat="false" ht="15" hidden="false" customHeight="false" outlineLevel="0" collapsed="false">
      <c r="A234" s="18" t="s">
        <v>31</v>
      </c>
      <c r="B234" s="18" t="s">
        <v>275</v>
      </c>
      <c r="C234" s="18" t="s">
        <v>276</v>
      </c>
      <c r="D234" s="18" t="s">
        <v>46</v>
      </c>
      <c r="E234" s="18" t="s">
        <v>198</v>
      </c>
      <c r="F234" s="18" t="n">
        <v>2607</v>
      </c>
      <c r="G234" s="18" t="s">
        <v>127</v>
      </c>
      <c r="H234" s="18" t="s">
        <v>289</v>
      </c>
      <c r="I234" s="18" t="s">
        <v>28</v>
      </c>
      <c r="J234" s="18" t="s">
        <v>13</v>
      </c>
      <c r="K234" s="18" t="s">
        <v>12</v>
      </c>
      <c r="L234" s="18" t="s">
        <v>125</v>
      </c>
      <c r="M234" s="18" t="s">
        <v>125</v>
      </c>
      <c r="N234" s="18" t="s">
        <v>125</v>
      </c>
      <c r="O234" s="18"/>
      <c r="P234" s="19" t="n">
        <v>46106.6666666667</v>
      </c>
      <c r="Q234" s="19" t="n">
        <v>46106.875</v>
      </c>
      <c r="R234" s="19" t="n">
        <v>46107.2083333333</v>
      </c>
      <c r="S234" s="20" t="n">
        <f aca="false">ROUND((Q234-P234)*24,4)</f>
        <v>5</v>
      </c>
      <c r="T234" s="18" t="str">
        <f aca="false">TEXT(P234,"YYYY-MM")</f>
        <v>2026-03</v>
      </c>
      <c r="U234" s="18" t="n">
        <f aca="false">RANK(S234,$S$2:$S$670)+COUNTIF($S$2:S234,S234)-1</f>
        <v>227</v>
      </c>
      <c r="V234" s="20" t="n">
        <f aca="false">ROUND((R234-Q234)*24,4)</f>
        <v>8</v>
      </c>
      <c r="W234" s="20" t="n">
        <f aca="false">ROUND((R234-P234)*24,4)</f>
        <v>13</v>
      </c>
      <c r="X234" s="18" t="str">
        <f aca="false">TEXT(P234,"dddd")</f>
        <v>Wednesday</v>
      </c>
      <c r="Y234" s="18" t="n">
        <f aca="false">HOUR(Q234)</f>
        <v>21</v>
      </c>
    </row>
    <row r="235" customFormat="false" ht="15" hidden="false" customHeight="false" outlineLevel="0" collapsed="false">
      <c r="A235" s="18" t="s">
        <v>33</v>
      </c>
      <c r="B235" s="18" t="s">
        <v>194</v>
      </c>
      <c r="C235" s="18" t="s">
        <v>195</v>
      </c>
      <c r="D235" s="18" t="s">
        <v>46</v>
      </c>
      <c r="E235" s="18" t="s">
        <v>176</v>
      </c>
      <c r="F235" s="18" t="n">
        <v>2603</v>
      </c>
      <c r="G235" s="18" t="s">
        <v>125</v>
      </c>
      <c r="H235" s="18" t="s">
        <v>280</v>
      </c>
      <c r="I235" s="18" t="s">
        <v>18</v>
      </c>
      <c r="J235" s="18" t="s">
        <v>12</v>
      </c>
      <c r="K235" s="18" t="s">
        <v>13</v>
      </c>
      <c r="L235" s="18" t="s">
        <v>125</v>
      </c>
      <c r="M235" s="18" t="s">
        <v>125</v>
      </c>
      <c r="N235" s="18" t="s">
        <v>125</v>
      </c>
      <c r="O235" s="18"/>
      <c r="P235" s="19" t="n">
        <v>46106.7083333333</v>
      </c>
      <c r="Q235" s="19" t="n">
        <v>46106.9166666667</v>
      </c>
      <c r="R235" s="19" t="n">
        <v>46107.875</v>
      </c>
      <c r="S235" s="20" t="n">
        <f aca="false">ROUND((Q235-P235)*24,4)</f>
        <v>5</v>
      </c>
      <c r="T235" s="18" t="str">
        <f aca="false">TEXT(P235,"YYYY-MM")</f>
        <v>2026-03</v>
      </c>
      <c r="U235" s="18" t="n">
        <f aca="false">RANK(S235,$S$2:$S$670)+COUNTIF($S$2:S235,S235)-1</f>
        <v>228</v>
      </c>
      <c r="V235" s="20" t="n">
        <f aca="false">ROUND((R235-Q235)*24,4)</f>
        <v>23</v>
      </c>
      <c r="W235" s="20" t="n">
        <f aca="false">ROUND((R235-P235)*24,4)</f>
        <v>28</v>
      </c>
      <c r="X235" s="18" t="str">
        <f aca="false">TEXT(P235,"dddd")</f>
        <v>Wednesday</v>
      </c>
      <c r="Y235" s="18" t="n">
        <f aca="false">HOUR(Q235)</f>
        <v>22</v>
      </c>
    </row>
    <row r="236" customFormat="false" ht="15" hidden="false" customHeight="false" outlineLevel="0" collapsed="false">
      <c r="A236" s="18" t="s">
        <v>37</v>
      </c>
      <c r="B236" s="18" t="s">
        <v>236</v>
      </c>
      <c r="C236" s="18" t="s">
        <v>237</v>
      </c>
      <c r="D236" s="18" t="s">
        <v>46</v>
      </c>
      <c r="E236" s="18" t="s">
        <v>163</v>
      </c>
      <c r="F236" s="18" t="n">
        <v>2602</v>
      </c>
      <c r="G236" s="18" t="s">
        <v>127</v>
      </c>
      <c r="H236" s="18" t="s">
        <v>259</v>
      </c>
      <c r="I236" s="18" t="s">
        <v>20</v>
      </c>
      <c r="J236" s="18" t="s">
        <v>13</v>
      </c>
      <c r="K236" s="18" t="s">
        <v>12</v>
      </c>
      <c r="L236" s="18" t="s">
        <v>125</v>
      </c>
      <c r="M236" s="18" t="s">
        <v>125</v>
      </c>
      <c r="N236" s="18" t="s">
        <v>125</v>
      </c>
      <c r="O236" s="18"/>
      <c r="P236" s="19" t="n">
        <v>46107.0833333333</v>
      </c>
      <c r="Q236" s="19" t="n">
        <v>46107.2708333333</v>
      </c>
      <c r="R236" s="19" t="n">
        <v>46107.6666666667</v>
      </c>
      <c r="S236" s="20" t="n">
        <f aca="false">ROUND((Q236-P236)*24,4)</f>
        <v>4.5</v>
      </c>
      <c r="T236" s="18" t="str">
        <f aca="false">TEXT(P236,"YYYY-MM")</f>
        <v>2026-03</v>
      </c>
      <c r="U236" s="18" t="n">
        <f aca="false">RANK(S236,$S$2:$S$670)+COUNTIF($S$2:S236,S236)-1</f>
        <v>243</v>
      </c>
      <c r="V236" s="20" t="n">
        <f aca="false">ROUND((R236-Q236)*24,4)</f>
        <v>9.5</v>
      </c>
      <c r="W236" s="20" t="n">
        <f aca="false">ROUND((R236-P236)*24,4)</f>
        <v>14</v>
      </c>
      <c r="X236" s="18" t="str">
        <f aca="false">TEXT(P236,"dddd")</f>
        <v>Thursday</v>
      </c>
      <c r="Y236" s="18" t="n">
        <f aca="false">HOUR(Q236)</f>
        <v>6</v>
      </c>
    </row>
    <row r="237" customFormat="false" ht="15" hidden="false" customHeight="false" outlineLevel="0" collapsed="false">
      <c r="A237" s="18" t="s">
        <v>31</v>
      </c>
      <c r="B237" s="18" t="s">
        <v>275</v>
      </c>
      <c r="C237" s="18" t="s">
        <v>276</v>
      </c>
      <c r="D237" s="18" t="s">
        <v>46</v>
      </c>
      <c r="E237" s="18" t="s">
        <v>168</v>
      </c>
      <c r="F237" s="18" t="n">
        <v>2607</v>
      </c>
      <c r="G237" s="18" t="s">
        <v>125</v>
      </c>
      <c r="H237" s="18" t="s">
        <v>290</v>
      </c>
      <c r="I237" s="18" t="s">
        <v>18</v>
      </c>
      <c r="J237" s="18" t="s">
        <v>12</v>
      </c>
      <c r="K237" s="18" t="s">
        <v>13</v>
      </c>
      <c r="L237" s="18" t="s">
        <v>125</v>
      </c>
      <c r="M237" s="18" t="s">
        <v>125</v>
      </c>
      <c r="N237" s="18" t="s">
        <v>125</v>
      </c>
      <c r="O237" s="18"/>
      <c r="P237" s="19" t="n">
        <v>46107.2916666667</v>
      </c>
      <c r="Q237" s="19" t="n">
        <v>46107.9583333333</v>
      </c>
      <c r="R237" s="19" t="n">
        <v>46108.9583333333</v>
      </c>
      <c r="S237" s="20" t="n">
        <f aca="false">ROUND((Q237-P237)*24,4)</f>
        <v>16</v>
      </c>
      <c r="T237" s="18" t="str">
        <f aca="false">TEXT(P237,"YYYY-MM")</f>
        <v>2026-03</v>
      </c>
      <c r="U237" s="18" t="n">
        <f aca="false">RANK(S237,$S$2:$S$670)+COUNTIF($S$2:S237,S237)-1</f>
        <v>73</v>
      </c>
      <c r="V237" s="20" t="n">
        <f aca="false">ROUND((R237-Q237)*24,4)</f>
        <v>24</v>
      </c>
      <c r="W237" s="20" t="n">
        <f aca="false">ROUND((R237-P237)*24,4)</f>
        <v>40</v>
      </c>
      <c r="X237" s="18" t="str">
        <f aca="false">TEXT(P237,"dddd")</f>
        <v>Thursday</v>
      </c>
      <c r="Y237" s="18" t="n">
        <f aca="false">HOUR(Q237)</f>
        <v>23</v>
      </c>
    </row>
    <row r="238" customFormat="false" ht="15" hidden="false" customHeight="false" outlineLevel="0" collapsed="false">
      <c r="A238" s="18" t="s">
        <v>37</v>
      </c>
      <c r="B238" s="18" t="s">
        <v>236</v>
      </c>
      <c r="C238" s="18" t="s">
        <v>237</v>
      </c>
      <c r="D238" s="18" t="s">
        <v>46</v>
      </c>
      <c r="E238" s="18" t="s">
        <v>176</v>
      </c>
      <c r="F238" s="18" t="n">
        <v>2602</v>
      </c>
      <c r="G238" s="18" t="s">
        <v>125</v>
      </c>
      <c r="H238" s="18" t="s">
        <v>260</v>
      </c>
      <c r="I238" s="18" t="s">
        <v>19</v>
      </c>
      <c r="J238" s="18" t="s">
        <v>12</v>
      </c>
      <c r="K238" s="18" t="s">
        <v>13</v>
      </c>
      <c r="L238" s="18" t="s">
        <v>125</v>
      </c>
      <c r="M238" s="18" t="s">
        <v>125</v>
      </c>
      <c r="N238" s="18" t="s">
        <v>125</v>
      </c>
      <c r="O238" s="18"/>
      <c r="P238" s="19" t="n">
        <v>46107.75</v>
      </c>
      <c r="Q238" s="19" t="n">
        <v>46108.3333333333</v>
      </c>
      <c r="R238" s="19" t="n">
        <v>46110.0416666667</v>
      </c>
      <c r="S238" s="20" t="n">
        <f aca="false">ROUND((Q238-P238)*24,4)</f>
        <v>14</v>
      </c>
      <c r="T238" s="18" t="str">
        <f aca="false">TEXT(P238,"YYYY-MM")</f>
        <v>2026-03</v>
      </c>
      <c r="U238" s="18" t="n">
        <f aca="false">RANK(S238,$S$2:$S$670)+COUNTIF($S$2:S238,S238)-1</f>
        <v>92</v>
      </c>
      <c r="V238" s="20" t="n">
        <f aca="false">ROUND((R238-Q238)*24,4)</f>
        <v>41</v>
      </c>
      <c r="W238" s="20" t="n">
        <f aca="false">ROUND((R238-P238)*24,4)</f>
        <v>55</v>
      </c>
      <c r="X238" s="18" t="str">
        <f aca="false">TEXT(P238,"dddd")</f>
        <v>Thursday</v>
      </c>
      <c r="Y238" s="18" t="n">
        <f aca="false">HOUR(Q238)</f>
        <v>8</v>
      </c>
    </row>
    <row r="239" customFormat="false" ht="15" hidden="false" customHeight="false" outlineLevel="0" collapsed="false">
      <c r="A239" s="18" t="s">
        <v>33</v>
      </c>
      <c r="B239" s="18" t="s">
        <v>194</v>
      </c>
      <c r="C239" s="18" t="s">
        <v>195</v>
      </c>
      <c r="D239" s="18" t="s">
        <v>46</v>
      </c>
      <c r="E239" s="18" t="s">
        <v>185</v>
      </c>
      <c r="F239" s="18" t="n">
        <v>2603</v>
      </c>
      <c r="G239" s="18" t="s">
        <v>125</v>
      </c>
      <c r="H239" s="18" t="s">
        <v>280</v>
      </c>
      <c r="I239" s="18" t="s">
        <v>23</v>
      </c>
      <c r="J239" s="18" t="s">
        <v>13</v>
      </c>
      <c r="K239" s="18" t="s">
        <v>165</v>
      </c>
      <c r="L239" s="18" t="s">
        <v>125</v>
      </c>
      <c r="M239" s="18" t="s">
        <v>144</v>
      </c>
      <c r="N239" s="18" t="s">
        <v>125</v>
      </c>
      <c r="O239" s="18"/>
      <c r="P239" s="19" t="n">
        <v>46108.0416666667</v>
      </c>
      <c r="Q239" s="19" t="n">
        <v>46108.25</v>
      </c>
      <c r="R239" s="19" t="n">
        <v>46108.75</v>
      </c>
      <c r="S239" s="20" t="n">
        <f aca="false">ROUND((Q239-P239)*24,4)</f>
        <v>5</v>
      </c>
      <c r="T239" s="18" t="str">
        <f aca="false">TEXT(P239,"YYYY-MM")</f>
        <v>2026-03</v>
      </c>
      <c r="U239" s="18" t="n">
        <f aca="false">RANK(S239,$S$2:$S$670)+COUNTIF($S$2:S239,S239)-1</f>
        <v>229</v>
      </c>
      <c r="V239" s="20" t="n">
        <f aca="false">ROUND((R239-Q239)*24,4)</f>
        <v>12</v>
      </c>
      <c r="W239" s="20" t="n">
        <f aca="false">ROUND((R239-P239)*24,4)</f>
        <v>17</v>
      </c>
      <c r="X239" s="18" t="str">
        <f aca="false">TEXT(P239,"dddd")</f>
        <v>Friday</v>
      </c>
      <c r="Y239" s="18" t="n">
        <f aca="false">HOUR(Q239)</f>
        <v>6</v>
      </c>
    </row>
    <row r="240" customFormat="false" ht="15" hidden="false" customHeight="false" outlineLevel="0" collapsed="false">
      <c r="A240" s="18" t="s">
        <v>31</v>
      </c>
      <c r="B240" s="18" t="s">
        <v>275</v>
      </c>
      <c r="C240" s="18" t="s">
        <v>276</v>
      </c>
      <c r="D240" s="18" t="s">
        <v>46</v>
      </c>
      <c r="E240" s="18" t="s">
        <v>163</v>
      </c>
      <c r="F240" s="18" t="n">
        <v>2607</v>
      </c>
      <c r="G240" s="18" t="s">
        <v>125</v>
      </c>
      <c r="H240" s="18" t="s">
        <v>290</v>
      </c>
      <c r="I240" s="18" t="s">
        <v>24</v>
      </c>
      <c r="J240" s="18" t="s">
        <v>13</v>
      </c>
      <c r="K240" s="18" t="s">
        <v>165</v>
      </c>
      <c r="L240" s="18" t="s">
        <v>125</v>
      </c>
      <c r="M240" s="18" t="s">
        <v>125</v>
      </c>
      <c r="N240" s="18" t="s">
        <v>125</v>
      </c>
      <c r="O240" s="18"/>
      <c r="P240" s="19" t="n">
        <v>46109.125</v>
      </c>
      <c r="Q240" s="19" t="n">
        <v>46109.1666666667</v>
      </c>
      <c r="R240" s="19" t="n">
        <v>46109.5</v>
      </c>
      <c r="S240" s="20" t="n">
        <f aca="false">ROUND((Q240-P240)*24,4)</f>
        <v>1</v>
      </c>
      <c r="T240" s="18" t="str">
        <f aca="false">TEXT(P240,"YYYY-MM")</f>
        <v>2026-03</v>
      </c>
      <c r="U240" s="18" t="n">
        <f aca="false">RANK(S240,$S$2:$S$670)+COUNTIF($S$2:S240,S240)-1</f>
        <v>439</v>
      </c>
      <c r="V240" s="20" t="n">
        <f aca="false">ROUND((R240-Q240)*24,4)</f>
        <v>8</v>
      </c>
      <c r="W240" s="20" t="n">
        <f aca="false">ROUND((R240-P240)*24,4)</f>
        <v>9</v>
      </c>
      <c r="X240" s="18" t="str">
        <f aca="false">TEXT(P240,"dddd")</f>
        <v>Saturday</v>
      </c>
      <c r="Y240" s="18" t="n">
        <f aca="false">HOUR(Q240)</f>
        <v>4</v>
      </c>
    </row>
    <row r="241" customFormat="false" ht="15" hidden="false" customHeight="false" outlineLevel="0" collapsed="false">
      <c r="A241" s="18" t="s">
        <v>31</v>
      </c>
      <c r="B241" s="18" t="s">
        <v>291</v>
      </c>
      <c r="C241" s="18" t="s">
        <v>292</v>
      </c>
      <c r="D241" s="18" t="s">
        <v>53</v>
      </c>
      <c r="E241" s="18" t="s">
        <v>198</v>
      </c>
      <c r="F241" s="18" t="n">
        <v>2601</v>
      </c>
      <c r="G241" s="18" t="s">
        <v>127</v>
      </c>
      <c r="H241" s="18" t="s">
        <v>227</v>
      </c>
      <c r="I241" s="18" t="s">
        <v>24</v>
      </c>
      <c r="J241" s="18" t="s">
        <v>13</v>
      </c>
      <c r="K241" s="18" t="s">
        <v>12</v>
      </c>
      <c r="L241" s="18" t="s">
        <v>125</v>
      </c>
      <c r="M241" s="18" t="s">
        <v>125</v>
      </c>
      <c r="N241" s="18" t="s">
        <v>125</v>
      </c>
      <c r="O241" s="18"/>
      <c r="P241" s="19" t="n">
        <v>46110.1666666667</v>
      </c>
      <c r="Q241" s="19" t="n">
        <v>46110.2361111111</v>
      </c>
      <c r="R241" s="19" t="n">
        <v>46110.625</v>
      </c>
      <c r="S241" s="20" t="n">
        <f aca="false">ROUND((Q241-P241)*24,4)</f>
        <v>1.6667</v>
      </c>
      <c r="T241" s="18" t="str">
        <f aca="false">TEXT(P241,"YYYY-MM")</f>
        <v>2026-03</v>
      </c>
      <c r="U241" s="18" t="n">
        <f aca="false">RANK(S241,$S$2:$S$670)+COUNTIF($S$2:S241,S241)-1</f>
        <v>353</v>
      </c>
      <c r="V241" s="20" t="n">
        <f aca="false">ROUND((R241-Q241)*24,4)</f>
        <v>9.3333</v>
      </c>
      <c r="W241" s="20" t="n">
        <f aca="false">ROUND((R241-P241)*24,4)</f>
        <v>11</v>
      </c>
      <c r="X241" s="18" t="str">
        <f aca="false">TEXT(P241,"dddd")</f>
        <v>Sunday</v>
      </c>
      <c r="Y241" s="18" t="n">
        <f aca="false">HOUR(Q241)</f>
        <v>5</v>
      </c>
    </row>
    <row r="242" customFormat="false" ht="15" hidden="false" customHeight="false" outlineLevel="0" collapsed="false">
      <c r="A242" s="18" t="s">
        <v>37</v>
      </c>
      <c r="B242" s="18" t="s">
        <v>236</v>
      </c>
      <c r="C242" s="18" t="s">
        <v>237</v>
      </c>
      <c r="D242" s="18" t="s">
        <v>46</v>
      </c>
      <c r="E242" s="18" t="s">
        <v>185</v>
      </c>
      <c r="F242" s="18" t="n">
        <v>2602</v>
      </c>
      <c r="G242" s="18" t="s">
        <v>125</v>
      </c>
      <c r="H242" s="18" t="s">
        <v>260</v>
      </c>
      <c r="I242" s="18" t="s">
        <v>20</v>
      </c>
      <c r="J242" s="18" t="s">
        <v>13</v>
      </c>
      <c r="K242" s="18" t="s">
        <v>165</v>
      </c>
      <c r="L242" s="18" t="s">
        <v>125</v>
      </c>
      <c r="M242" s="18" t="s">
        <v>125</v>
      </c>
      <c r="N242" s="18" t="s">
        <v>125</v>
      </c>
      <c r="O242" s="18"/>
      <c r="P242" s="19" t="n">
        <v>46110.25</v>
      </c>
      <c r="Q242" s="19" t="n">
        <v>46110.5208333333</v>
      </c>
      <c r="R242" s="19" t="n">
        <v>46111.0833333333</v>
      </c>
      <c r="S242" s="20" t="n">
        <f aca="false">ROUND((Q242-P242)*24,4)</f>
        <v>6.5</v>
      </c>
      <c r="T242" s="18" t="str">
        <f aca="false">TEXT(P242,"YYYY-MM")</f>
        <v>2026-03</v>
      </c>
      <c r="U242" s="18" t="n">
        <f aca="false">RANK(S242,$S$2:$S$670)+COUNTIF($S$2:S242,S242)-1</f>
        <v>201</v>
      </c>
      <c r="V242" s="20" t="n">
        <f aca="false">ROUND((R242-Q242)*24,4)</f>
        <v>13.5</v>
      </c>
      <c r="W242" s="20" t="n">
        <f aca="false">ROUND((R242-P242)*24,4)</f>
        <v>20</v>
      </c>
      <c r="X242" s="18" t="str">
        <f aca="false">TEXT(P242,"dddd")</f>
        <v>Sunday</v>
      </c>
      <c r="Y242" s="18" t="n">
        <f aca="false">HOUR(Q242)</f>
        <v>12</v>
      </c>
    </row>
    <row r="243" customFormat="false" ht="15" hidden="false" customHeight="false" outlineLevel="0" collapsed="false">
      <c r="A243" s="18" t="s">
        <v>31</v>
      </c>
      <c r="B243" s="18" t="s">
        <v>291</v>
      </c>
      <c r="C243" s="18" t="s">
        <v>292</v>
      </c>
      <c r="D243" s="18" t="s">
        <v>53</v>
      </c>
      <c r="E243" s="18" t="s">
        <v>168</v>
      </c>
      <c r="F243" s="18" t="n">
        <v>2601</v>
      </c>
      <c r="G243" s="18" t="s">
        <v>125</v>
      </c>
      <c r="H243" s="18" t="s">
        <v>231</v>
      </c>
      <c r="I243" s="18" t="s">
        <v>18</v>
      </c>
      <c r="J243" s="18" t="s">
        <v>12</v>
      </c>
      <c r="K243" s="18" t="s">
        <v>13</v>
      </c>
      <c r="L243" s="18" t="s">
        <v>125</v>
      </c>
      <c r="M243" s="18" t="s">
        <v>125</v>
      </c>
      <c r="N243" s="18" t="s">
        <v>125</v>
      </c>
      <c r="O243" s="18"/>
      <c r="P243" s="19" t="n">
        <v>46110.7083333333</v>
      </c>
      <c r="Q243" s="19" t="n">
        <v>46111.125</v>
      </c>
      <c r="R243" s="19" t="n">
        <v>46112.0416666667</v>
      </c>
      <c r="S243" s="20" t="n">
        <f aca="false">ROUND((Q243-P243)*24,4)</f>
        <v>10</v>
      </c>
      <c r="T243" s="18" t="str">
        <f aca="false">TEXT(P243,"YYYY-MM")</f>
        <v>2026-03</v>
      </c>
      <c r="U243" s="18" t="n">
        <f aca="false">RANK(S243,$S$2:$S$670)+COUNTIF($S$2:S243,S243)-1</f>
        <v>142</v>
      </c>
      <c r="V243" s="20" t="n">
        <f aca="false">ROUND((R243-Q243)*24,4)</f>
        <v>22</v>
      </c>
      <c r="W243" s="20" t="n">
        <f aca="false">ROUND((R243-P243)*24,4)</f>
        <v>32</v>
      </c>
      <c r="X243" s="18" t="str">
        <f aca="false">TEXT(P243,"dddd")</f>
        <v>Sunday</v>
      </c>
      <c r="Y243" s="18" t="n">
        <f aca="false">HOUR(Q243)</f>
        <v>3</v>
      </c>
    </row>
    <row r="244" customFormat="false" ht="15" hidden="false" customHeight="false" outlineLevel="0" collapsed="false">
      <c r="A244" s="18" t="s">
        <v>32</v>
      </c>
      <c r="B244" s="18" t="s">
        <v>225</v>
      </c>
      <c r="C244" s="18" t="s">
        <v>226</v>
      </c>
      <c r="D244" s="18" t="s">
        <v>47</v>
      </c>
      <c r="E244" s="18" t="s">
        <v>168</v>
      </c>
      <c r="F244" s="18" t="n">
        <v>2604</v>
      </c>
      <c r="G244" s="18" t="s">
        <v>127</v>
      </c>
      <c r="H244" s="18" t="s">
        <v>293</v>
      </c>
      <c r="I244" s="18" t="s">
        <v>23</v>
      </c>
      <c r="J244" s="18" t="s">
        <v>13</v>
      </c>
      <c r="K244" s="18" t="s">
        <v>12</v>
      </c>
      <c r="L244" s="18" t="s">
        <v>125</v>
      </c>
      <c r="M244" s="18" t="s">
        <v>125</v>
      </c>
      <c r="N244" s="18" t="s">
        <v>125</v>
      </c>
      <c r="O244" s="18"/>
      <c r="P244" s="19" t="n">
        <v>46111.0354166667</v>
      </c>
      <c r="Q244" s="19" t="n">
        <v>46111.0833333333</v>
      </c>
      <c r="R244" s="19" t="n">
        <v>46111.375</v>
      </c>
      <c r="S244" s="20" t="n">
        <f aca="false">ROUND((Q244-P244)*24,4)</f>
        <v>1.15</v>
      </c>
      <c r="T244" s="18" t="str">
        <f aca="false">TEXT(P244,"YYYY-MM")</f>
        <v>2026-03</v>
      </c>
      <c r="U244" s="18" t="n">
        <f aca="false">RANK(S244,$S$2:$S$670)+COUNTIF($S$2:S244,S244)-1</f>
        <v>365</v>
      </c>
      <c r="V244" s="20" t="n">
        <f aca="false">ROUND((R244-Q244)*24,4)</f>
        <v>7</v>
      </c>
      <c r="W244" s="20" t="n">
        <f aca="false">ROUND((R244-P244)*24,4)</f>
        <v>8.15</v>
      </c>
      <c r="X244" s="18" t="str">
        <f aca="false">TEXT(P244,"dddd")</f>
        <v>Monday</v>
      </c>
      <c r="Y244" s="18" t="n">
        <f aca="false">HOUR(Q244)</f>
        <v>2</v>
      </c>
    </row>
    <row r="245" customFormat="false" ht="15" hidden="false" customHeight="false" outlineLevel="0" collapsed="false">
      <c r="A245" s="18" t="s">
        <v>35</v>
      </c>
      <c r="B245" s="18" t="s">
        <v>199</v>
      </c>
      <c r="C245" s="18" t="s">
        <v>200</v>
      </c>
      <c r="D245" s="18" t="s">
        <v>46</v>
      </c>
      <c r="E245" s="18" t="s">
        <v>198</v>
      </c>
      <c r="F245" s="18" t="n">
        <v>2603</v>
      </c>
      <c r="G245" s="18" t="s">
        <v>127</v>
      </c>
      <c r="H245" s="18" t="s">
        <v>279</v>
      </c>
      <c r="I245" s="18" t="s">
        <v>24</v>
      </c>
      <c r="J245" s="18" t="s">
        <v>13</v>
      </c>
      <c r="K245" s="18" t="s">
        <v>12</v>
      </c>
      <c r="L245" s="18" t="s">
        <v>125</v>
      </c>
      <c r="M245" s="18" t="s">
        <v>125</v>
      </c>
      <c r="N245" s="18" t="s">
        <v>144</v>
      </c>
      <c r="O245" s="18"/>
      <c r="P245" s="19" t="n">
        <v>46111.2083333333</v>
      </c>
      <c r="Q245" s="19" t="n">
        <v>46111.25</v>
      </c>
      <c r="R245" s="19" t="n">
        <v>46111.625</v>
      </c>
      <c r="S245" s="20" t="n">
        <f aca="false">ROUND((Q245-P245)*24,4)</f>
        <v>1</v>
      </c>
      <c r="T245" s="18" t="str">
        <f aca="false">TEXT(P245,"YYYY-MM")</f>
        <v>2026-03</v>
      </c>
      <c r="U245" s="18" t="n">
        <f aca="false">RANK(S245,$S$2:$S$670)+COUNTIF($S$2:S245,S245)-1</f>
        <v>440</v>
      </c>
      <c r="V245" s="20" t="n">
        <f aca="false">ROUND((R245-Q245)*24,4)</f>
        <v>9</v>
      </c>
      <c r="W245" s="20" t="n">
        <f aca="false">ROUND((R245-P245)*24,4)</f>
        <v>10</v>
      </c>
      <c r="X245" s="18" t="str">
        <f aca="false">TEXT(P245,"dddd")</f>
        <v>Monday</v>
      </c>
      <c r="Y245" s="18" t="n">
        <f aca="false">HOUR(Q245)</f>
        <v>6</v>
      </c>
    </row>
    <row r="246" customFormat="false" ht="15" hidden="false" customHeight="false" outlineLevel="0" collapsed="false">
      <c r="A246" s="18" t="s">
        <v>32</v>
      </c>
      <c r="B246" s="18" t="s">
        <v>225</v>
      </c>
      <c r="C246" s="18" t="s">
        <v>226</v>
      </c>
      <c r="D246" s="18" t="s">
        <v>47</v>
      </c>
      <c r="E246" s="18" t="s">
        <v>163</v>
      </c>
      <c r="F246" s="18" t="n">
        <v>2604</v>
      </c>
      <c r="G246" s="18" t="s">
        <v>125</v>
      </c>
      <c r="H246" s="18" t="s">
        <v>294</v>
      </c>
      <c r="I246" s="18" t="s">
        <v>17</v>
      </c>
      <c r="J246" s="18" t="s">
        <v>12</v>
      </c>
      <c r="K246" s="18" t="s">
        <v>13</v>
      </c>
      <c r="L246" s="18" t="s">
        <v>125</v>
      </c>
      <c r="M246" s="18" t="s">
        <v>125</v>
      </c>
      <c r="N246" s="18" t="s">
        <v>125</v>
      </c>
      <c r="O246" s="18"/>
      <c r="P246" s="19" t="n">
        <v>46111.5</v>
      </c>
      <c r="Q246" s="19" t="n">
        <v>46112.3583333333</v>
      </c>
      <c r="R246" s="19" t="n">
        <v>46113.5833333333</v>
      </c>
      <c r="S246" s="20" t="n">
        <f aca="false">ROUND((Q246-P246)*24,4)</f>
        <v>20.6</v>
      </c>
      <c r="T246" s="18" t="str">
        <f aca="false">TEXT(P246,"YYYY-MM")</f>
        <v>2026-03</v>
      </c>
      <c r="U246" s="18" t="n">
        <f aca="false">RANK(S246,$S$2:$S$670)+COUNTIF($S$2:S246,S246)-1</f>
        <v>44</v>
      </c>
      <c r="V246" s="20" t="n">
        <f aca="false">ROUND((R246-Q246)*24,4)</f>
        <v>29.4</v>
      </c>
      <c r="W246" s="20" t="n">
        <f aca="false">ROUND((R246-P246)*24,4)</f>
        <v>50</v>
      </c>
      <c r="X246" s="18" t="str">
        <f aca="false">TEXT(P246,"dddd")</f>
        <v>Monday</v>
      </c>
      <c r="Y246" s="18" t="n">
        <f aca="false">HOUR(Q246)</f>
        <v>8</v>
      </c>
    </row>
    <row r="247" customFormat="false" ht="15" hidden="false" customHeight="false" outlineLevel="0" collapsed="false">
      <c r="A247" s="18" t="s">
        <v>35</v>
      </c>
      <c r="B247" s="18" t="s">
        <v>199</v>
      </c>
      <c r="C247" s="18" t="s">
        <v>200</v>
      </c>
      <c r="D247" s="18" t="s">
        <v>46</v>
      </c>
      <c r="E247" s="18" t="s">
        <v>168</v>
      </c>
      <c r="F247" s="18" t="n">
        <v>2603</v>
      </c>
      <c r="G247" s="18" t="s">
        <v>125</v>
      </c>
      <c r="H247" s="18" t="s">
        <v>280</v>
      </c>
      <c r="I247" s="18" t="s">
        <v>19</v>
      </c>
      <c r="J247" s="18" t="s">
        <v>12</v>
      </c>
      <c r="K247" s="18" t="s">
        <v>13</v>
      </c>
      <c r="L247" s="18" t="s">
        <v>125</v>
      </c>
      <c r="M247" s="18" t="s">
        <v>125</v>
      </c>
      <c r="N247" s="18" t="s">
        <v>125</v>
      </c>
      <c r="O247" s="18"/>
      <c r="P247" s="19" t="n">
        <v>46111.7083333333</v>
      </c>
      <c r="Q247" s="19" t="n">
        <v>46112.2916666667</v>
      </c>
      <c r="R247" s="19" t="n">
        <v>46113.5833333333</v>
      </c>
      <c r="S247" s="20" t="n">
        <f aca="false">ROUND((Q247-P247)*24,4)</f>
        <v>14</v>
      </c>
      <c r="T247" s="18" t="str">
        <f aca="false">TEXT(P247,"YYYY-MM")</f>
        <v>2026-03</v>
      </c>
      <c r="U247" s="18" t="n">
        <f aca="false">RANK(S247,$S$2:$S$670)+COUNTIF($S$2:S247,S247)-1</f>
        <v>93</v>
      </c>
      <c r="V247" s="20" t="n">
        <f aca="false">ROUND((R247-Q247)*24,4)</f>
        <v>31</v>
      </c>
      <c r="W247" s="20" t="n">
        <f aca="false">ROUND((R247-P247)*24,4)</f>
        <v>45</v>
      </c>
      <c r="X247" s="18" t="str">
        <f aca="false">TEXT(P247,"dddd")</f>
        <v>Monday</v>
      </c>
      <c r="Y247" s="18" t="n">
        <f aca="false">HOUR(Q247)</f>
        <v>7</v>
      </c>
    </row>
    <row r="248" customFormat="false" ht="15" hidden="false" customHeight="false" outlineLevel="0" collapsed="false">
      <c r="A248" s="18" t="s">
        <v>31</v>
      </c>
      <c r="B248" s="18" t="s">
        <v>291</v>
      </c>
      <c r="C248" s="18" t="s">
        <v>292</v>
      </c>
      <c r="D248" s="18" t="s">
        <v>53</v>
      </c>
      <c r="E248" s="18" t="s">
        <v>163</v>
      </c>
      <c r="F248" s="18" t="n">
        <v>2601</v>
      </c>
      <c r="G248" s="18" t="s">
        <v>125</v>
      </c>
      <c r="H248" s="18" t="s">
        <v>231</v>
      </c>
      <c r="I248" s="18" t="s">
        <v>24</v>
      </c>
      <c r="J248" s="18" t="s">
        <v>13</v>
      </c>
      <c r="K248" s="18" t="s">
        <v>165</v>
      </c>
      <c r="L248" s="18" t="s">
        <v>125</v>
      </c>
      <c r="M248" s="18" t="s">
        <v>125</v>
      </c>
      <c r="N248" s="18" t="s">
        <v>125</v>
      </c>
      <c r="O248" s="18"/>
      <c r="P248" s="19" t="n">
        <v>46112.2083333333</v>
      </c>
      <c r="Q248" s="19" t="n">
        <v>46115.2083333333</v>
      </c>
      <c r="R248" s="19" t="n">
        <v>46115.625</v>
      </c>
      <c r="S248" s="20" t="n">
        <f aca="false">ROUND((Q248-P248)*24,4)</f>
        <v>72</v>
      </c>
      <c r="T248" s="18" t="str">
        <f aca="false">TEXT(P248,"YYYY-MM")</f>
        <v>2026-03</v>
      </c>
      <c r="U248" s="18" t="n">
        <f aca="false">RANK(S248,$S$2:$S$670)+COUNTIF($S$2:S248,S248)-1</f>
        <v>1</v>
      </c>
      <c r="V248" s="20" t="n">
        <f aca="false">ROUND((R248-Q248)*24,4)</f>
        <v>10</v>
      </c>
      <c r="W248" s="20" t="n">
        <f aca="false">ROUND((R248-P248)*24,4)</f>
        <v>82</v>
      </c>
      <c r="X248" s="18" t="str">
        <f aca="false">TEXT(P248,"dddd")</f>
        <v>Tuesday</v>
      </c>
      <c r="Y248" s="18" t="n">
        <f aca="false">HOUR(Q248)</f>
        <v>5</v>
      </c>
    </row>
    <row r="249" customFormat="false" ht="15" hidden="false" customHeight="false" outlineLevel="0" collapsed="false">
      <c r="A249" s="18" t="s">
        <v>34</v>
      </c>
      <c r="B249" s="18" t="s">
        <v>233</v>
      </c>
      <c r="C249" s="18" t="s">
        <v>234</v>
      </c>
      <c r="D249" s="18" t="s">
        <v>46</v>
      </c>
      <c r="E249" s="18" t="s">
        <v>163</v>
      </c>
      <c r="F249" s="18" t="n">
        <v>2603</v>
      </c>
      <c r="G249" s="18" t="s">
        <v>127</v>
      </c>
      <c r="H249" s="18" t="s">
        <v>279</v>
      </c>
      <c r="I249" s="18" t="s">
        <v>23</v>
      </c>
      <c r="J249" s="18" t="s">
        <v>13</v>
      </c>
      <c r="K249" s="18" t="s">
        <v>12</v>
      </c>
      <c r="L249" s="18" t="s">
        <v>125</v>
      </c>
      <c r="M249" s="18" t="s">
        <v>125</v>
      </c>
      <c r="N249" s="18" t="s">
        <v>125</v>
      </c>
      <c r="O249" s="18"/>
      <c r="P249" s="19" t="n">
        <v>46112.4583333333</v>
      </c>
      <c r="Q249" s="19" t="n">
        <v>46112.5833333333</v>
      </c>
      <c r="R249" s="19" t="n">
        <v>46112.875</v>
      </c>
      <c r="S249" s="20" t="n">
        <f aca="false">ROUND((Q249-P249)*24,4)</f>
        <v>3</v>
      </c>
      <c r="T249" s="18" t="str">
        <f aca="false">TEXT(P249,"YYYY-MM")</f>
        <v>2026-03</v>
      </c>
      <c r="U249" s="18" t="n">
        <f aca="false">RANK(S249,$S$2:$S$670)+COUNTIF($S$2:S249,S249)-1</f>
        <v>280</v>
      </c>
      <c r="V249" s="20" t="n">
        <f aca="false">ROUND((R249-Q249)*24,4)</f>
        <v>7</v>
      </c>
      <c r="W249" s="20" t="n">
        <f aca="false">ROUND((R249-P249)*24,4)</f>
        <v>10</v>
      </c>
      <c r="X249" s="18" t="str">
        <f aca="false">TEXT(P249,"dddd")</f>
        <v>Tuesday</v>
      </c>
      <c r="Y249" s="18" t="n">
        <f aca="false">HOUR(Q249)</f>
        <v>14</v>
      </c>
    </row>
    <row r="250" customFormat="false" ht="15" hidden="false" customHeight="false" outlineLevel="0" collapsed="false">
      <c r="A250" s="18" t="s">
        <v>38</v>
      </c>
      <c r="B250" s="18" t="s">
        <v>244</v>
      </c>
      <c r="C250" s="18" t="s">
        <v>245</v>
      </c>
      <c r="D250" s="18" t="s">
        <v>47</v>
      </c>
      <c r="E250" s="18" t="s">
        <v>163</v>
      </c>
      <c r="F250" s="18" t="n">
        <v>2603</v>
      </c>
      <c r="G250" s="18" t="s">
        <v>127</v>
      </c>
      <c r="H250" s="18" t="s">
        <v>279</v>
      </c>
      <c r="I250" s="18" t="s">
        <v>23</v>
      </c>
      <c r="J250" s="18" t="s">
        <v>13</v>
      </c>
      <c r="K250" s="18" t="s">
        <v>181</v>
      </c>
      <c r="L250" s="18" t="s">
        <v>125</v>
      </c>
      <c r="M250" s="18" t="s">
        <v>125</v>
      </c>
      <c r="N250" s="18" t="s">
        <v>125</v>
      </c>
      <c r="O250" s="18"/>
      <c r="P250" s="19" t="n">
        <v>46112.6666666667</v>
      </c>
      <c r="Q250" s="19" t="n">
        <v>46112.7083333333</v>
      </c>
      <c r="R250" s="19" t="n">
        <v>46113.5416666667</v>
      </c>
      <c r="S250" s="20" t="n">
        <f aca="false">ROUND((Q250-P250)*24,4)</f>
        <v>1</v>
      </c>
      <c r="T250" s="18" t="str">
        <f aca="false">TEXT(P250,"YYYY-MM")</f>
        <v>2026-03</v>
      </c>
      <c r="U250" s="18" t="n">
        <f aca="false">RANK(S250,$S$2:$S$670)+COUNTIF($S$2:S250,S250)-1</f>
        <v>441</v>
      </c>
      <c r="V250" s="20" t="n">
        <f aca="false">ROUND((R250-Q250)*24,4)</f>
        <v>20</v>
      </c>
      <c r="W250" s="20" t="n">
        <f aca="false">ROUND((R250-P250)*24,4)</f>
        <v>21</v>
      </c>
      <c r="X250" s="18" t="str">
        <f aca="false">TEXT(P250,"dddd")</f>
        <v>Tuesday</v>
      </c>
      <c r="Y250" s="18" t="n">
        <f aca="false">HOUR(Q250)</f>
        <v>17</v>
      </c>
    </row>
    <row r="251" customFormat="false" ht="15" hidden="false" customHeight="false" outlineLevel="0" collapsed="false">
      <c r="A251" s="18" t="s">
        <v>34</v>
      </c>
      <c r="B251" s="18" t="s">
        <v>233</v>
      </c>
      <c r="C251" s="18" t="s">
        <v>234</v>
      </c>
      <c r="D251" s="18" t="s">
        <v>46</v>
      </c>
      <c r="E251" s="18" t="s">
        <v>176</v>
      </c>
      <c r="F251" s="18" t="n">
        <v>2603</v>
      </c>
      <c r="G251" s="18" t="s">
        <v>125</v>
      </c>
      <c r="H251" s="18" t="s">
        <v>280</v>
      </c>
      <c r="I251" s="18" t="s">
        <v>17</v>
      </c>
      <c r="J251" s="18" t="s">
        <v>12</v>
      </c>
      <c r="K251" s="18" t="s">
        <v>13</v>
      </c>
      <c r="L251" s="18" t="s">
        <v>125</v>
      </c>
      <c r="M251" s="18" t="s">
        <v>125</v>
      </c>
      <c r="N251" s="18" t="s">
        <v>125</v>
      </c>
      <c r="O251" s="18"/>
      <c r="P251" s="19" t="n">
        <v>46112.9583333333</v>
      </c>
      <c r="Q251" s="19" t="n">
        <v>46113.7708333333</v>
      </c>
      <c r="R251" s="19" t="n">
        <v>46115.0833333333</v>
      </c>
      <c r="S251" s="20" t="n">
        <f aca="false">ROUND((Q251-P251)*24,4)</f>
        <v>19.5</v>
      </c>
      <c r="T251" s="18" t="str">
        <f aca="false">TEXT(P251,"YYYY-MM")</f>
        <v>2026-03</v>
      </c>
      <c r="U251" s="18" t="n">
        <f aca="false">RANK(S251,$S$2:$S$670)+COUNTIF($S$2:S251,S251)-1</f>
        <v>52</v>
      </c>
      <c r="V251" s="20" t="n">
        <f aca="false">ROUND((R251-Q251)*24,4)</f>
        <v>31.5</v>
      </c>
      <c r="W251" s="20" t="n">
        <f aca="false">ROUND((R251-P251)*24,4)</f>
        <v>51</v>
      </c>
      <c r="X251" s="18" t="str">
        <f aca="false">TEXT(P251,"dddd")</f>
        <v>Tuesday</v>
      </c>
      <c r="Y251" s="18" t="n">
        <f aca="false">HOUR(Q251)</f>
        <v>18</v>
      </c>
    </row>
    <row r="252" customFormat="false" ht="15" hidden="false" customHeight="false" outlineLevel="0" collapsed="false">
      <c r="A252" s="18" t="s">
        <v>32</v>
      </c>
      <c r="B252" s="18" t="s">
        <v>225</v>
      </c>
      <c r="C252" s="18" t="s">
        <v>226</v>
      </c>
      <c r="D252" s="18" t="s">
        <v>47</v>
      </c>
      <c r="E252" s="18" t="s">
        <v>176</v>
      </c>
      <c r="F252" s="18" t="n">
        <v>2604</v>
      </c>
      <c r="G252" s="18" t="s">
        <v>125</v>
      </c>
      <c r="H252" s="18" t="s">
        <v>294</v>
      </c>
      <c r="I252" s="18" t="s">
        <v>23</v>
      </c>
      <c r="J252" s="18" t="s">
        <v>13</v>
      </c>
      <c r="K252" s="18" t="s">
        <v>232</v>
      </c>
      <c r="L252" s="18" t="s">
        <v>125</v>
      </c>
      <c r="M252" s="18" t="s">
        <v>125</v>
      </c>
      <c r="N252" s="18" t="s">
        <v>125</v>
      </c>
      <c r="O252" s="18"/>
      <c r="P252" s="19" t="n">
        <v>46113.7083333333</v>
      </c>
      <c r="Q252" s="19" t="n">
        <v>46114.1375</v>
      </c>
      <c r="R252" s="19" t="n">
        <v>46114.5</v>
      </c>
      <c r="S252" s="20" t="n">
        <f aca="false">ROUND((Q252-P252)*24,4)</f>
        <v>10.3</v>
      </c>
      <c r="T252" s="18" t="str">
        <f aca="false">TEXT(P252,"YYYY-MM")</f>
        <v>2026-04</v>
      </c>
      <c r="U252" s="18" t="n">
        <f aca="false">RANK(S252,$S$2:$S$670)+COUNTIF($S$2:S252,S252)-1</f>
        <v>137</v>
      </c>
      <c r="V252" s="20" t="n">
        <f aca="false">ROUND((R252-Q252)*24,4)</f>
        <v>8.7</v>
      </c>
      <c r="W252" s="20" t="n">
        <f aca="false">ROUND((R252-P252)*24,4)</f>
        <v>19</v>
      </c>
      <c r="X252" s="18" t="str">
        <f aca="false">TEXT(P252,"dddd")</f>
        <v>Wednesday</v>
      </c>
      <c r="Y252" s="18" t="n">
        <f aca="false">HOUR(Q252)</f>
        <v>3</v>
      </c>
    </row>
    <row r="253" customFormat="false" ht="15" hidden="false" customHeight="false" outlineLevel="0" collapsed="false">
      <c r="A253" s="18" t="s">
        <v>35</v>
      </c>
      <c r="B253" s="18" t="s">
        <v>199</v>
      </c>
      <c r="C253" s="18" t="s">
        <v>200</v>
      </c>
      <c r="D253" s="18" t="s">
        <v>46</v>
      </c>
      <c r="E253" s="18" t="s">
        <v>163</v>
      </c>
      <c r="F253" s="18" t="n">
        <v>2603</v>
      </c>
      <c r="G253" s="18" t="s">
        <v>125</v>
      </c>
      <c r="H253" s="18" t="s">
        <v>280</v>
      </c>
      <c r="I253" s="18" t="s">
        <v>24</v>
      </c>
      <c r="J253" s="18" t="s">
        <v>13</v>
      </c>
      <c r="K253" s="18" t="s">
        <v>186</v>
      </c>
      <c r="L253" s="18" t="s">
        <v>125</v>
      </c>
      <c r="M253" s="18" t="s">
        <v>144</v>
      </c>
      <c r="N253" s="18" t="s">
        <v>125</v>
      </c>
      <c r="O253" s="18"/>
      <c r="P253" s="19" t="n">
        <v>46113.7916666667</v>
      </c>
      <c r="Q253" s="19" t="n">
        <v>46116.0416666667</v>
      </c>
      <c r="R253" s="19" t="n">
        <v>46116.5833333333</v>
      </c>
      <c r="S253" s="20" t="n">
        <f aca="false">ROUND((Q253-P253)*24,4)</f>
        <v>54</v>
      </c>
      <c r="T253" s="18" t="str">
        <f aca="false">TEXT(P253,"YYYY-MM")</f>
        <v>2026-04</v>
      </c>
      <c r="U253" s="18" t="n">
        <f aca="false">RANK(S253,$S$2:$S$670)+COUNTIF($S$2:S253,S253)-1</f>
        <v>4</v>
      </c>
      <c r="V253" s="20" t="n">
        <f aca="false">ROUND((R253-Q253)*24,4)</f>
        <v>13</v>
      </c>
      <c r="W253" s="20" t="n">
        <f aca="false">ROUND((R253-P253)*24,4)</f>
        <v>67</v>
      </c>
      <c r="X253" s="18" t="str">
        <f aca="false">TEXT(P253,"dddd")</f>
        <v>Wednesday</v>
      </c>
      <c r="Y253" s="18" t="n">
        <f aca="false">HOUR(Q253)</f>
        <v>1</v>
      </c>
    </row>
    <row r="254" customFormat="false" ht="15" hidden="false" customHeight="false" outlineLevel="0" collapsed="false">
      <c r="A254" s="18" t="s">
        <v>34</v>
      </c>
      <c r="B254" s="18" t="s">
        <v>233</v>
      </c>
      <c r="C254" s="18" t="s">
        <v>234</v>
      </c>
      <c r="D254" s="18" t="s">
        <v>46</v>
      </c>
      <c r="E254" s="18" t="s">
        <v>185</v>
      </c>
      <c r="F254" s="18" t="n">
        <v>2603</v>
      </c>
      <c r="G254" s="18" t="s">
        <v>125</v>
      </c>
      <c r="H254" s="18" t="s">
        <v>280</v>
      </c>
      <c r="I254" s="18" t="s">
        <v>23</v>
      </c>
      <c r="J254" s="18" t="s">
        <v>13</v>
      </c>
      <c r="K254" s="18" t="s">
        <v>165</v>
      </c>
      <c r="L254" s="18" t="s">
        <v>125</v>
      </c>
      <c r="M254" s="18" t="s">
        <v>125</v>
      </c>
      <c r="N254" s="18" t="s">
        <v>125</v>
      </c>
      <c r="O254" s="18"/>
      <c r="P254" s="19" t="n">
        <v>46115.2916666667</v>
      </c>
      <c r="Q254" s="19" t="n">
        <v>46115.8333333333</v>
      </c>
      <c r="R254" s="19" t="n">
        <v>46116.2083333333</v>
      </c>
      <c r="S254" s="20" t="n">
        <f aca="false">ROUND((Q254-P254)*24,4)</f>
        <v>13</v>
      </c>
      <c r="T254" s="18" t="str">
        <f aca="false">TEXT(P254,"YYYY-MM")</f>
        <v>2026-04</v>
      </c>
      <c r="U254" s="18" t="n">
        <f aca="false">RANK(S254,$S$2:$S$670)+COUNTIF($S$2:S254,S254)-1</f>
        <v>104</v>
      </c>
      <c r="V254" s="20" t="n">
        <f aca="false">ROUND((R254-Q254)*24,4)</f>
        <v>9</v>
      </c>
      <c r="W254" s="20" t="n">
        <f aca="false">ROUND((R254-P254)*24,4)</f>
        <v>22</v>
      </c>
      <c r="X254" s="18" t="str">
        <f aca="false">TEXT(P254,"dddd")</f>
        <v>Friday</v>
      </c>
      <c r="Y254" s="18" t="n">
        <f aca="false">HOUR(Q254)</f>
        <v>20</v>
      </c>
    </row>
    <row r="255" customFormat="false" ht="15" hidden="false" customHeight="false" outlineLevel="0" collapsed="false">
      <c r="A255" s="18" t="s">
        <v>32</v>
      </c>
      <c r="B255" s="18" t="s">
        <v>182</v>
      </c>
      <c r="C255" s="18" t="s">
        <v>183</v>
      </c>
      <c r="D255" s="18" t="s">
        <v>48</v>
      </c>
      <c r="E255" s="18" t="s">
        <v>168</v>
      </c>
      <c r="F255" s="18" t="n">
        <v>2604</v>
      </c>
      <c r="G255" s="18" t="s">
        <v>127</v>
      </c>
      <c r="H255" s="18" t="s">
        <v>293</v>
      </c>
      <c r="I255" s="18" t="s">
        <v>23</v>
      </c>
      <c r="J255" s="18" t="s">
        <v>13</v>
      </c>
      <c r="K255" s="18" t="s">
        <v>12</v>
      </c>
      <c r="L255" s="18" t="s">
        <v>125</v>
      </c>
      <c r="M255" s="18" t="s">
        <v>125</v>
      </c>
      <c r="N255" s="18" t="s">
        <v>125</v>
      </c>
      <c r="O255" s="18"/>
      <c r="P255" s="19" t="n">
        <v>46116.2083333333</v>
      </c>
      <c r="Q255" s="19" t="n">
        <v>46116.375</v>
      </c>
      <c r="R255" s="19" t="n">
        <v>46116.7083333333</v>
      </c>
      <c r="S255" s="20" t="n">
        <f aca="false">ROUND((Q255-P255)*24,4)</f>
        <v>4</v>
      </c>
      <c r="T255" s="18" t="str">
        <f aca="false">TEXT(P255,"YYYY-MM")</f>
        <v>2026-04</v>
      </c>
      <c r="U255" s="18" t="n">
        <f aca="false">RANK(S255,$S$2:$S$670)+COUNTIF($S$2:S255,S255)-1</f>
        <v>248</v>
      </c>
      <c r="V255" s="20" t="n">
        <f aca="false">ROUND((R255-Q255)*24,4)</f>
        <v>8</v>
      </c>
      <c r="W255" s="20" t="n">
        <f aca="false">ROUND((R255-P255)*24,4)</f>
        <v>12</v>
      </c>
      <c r="X255" s="18" t="str">
        <f aca="false">TEXT(P255,"dddd")</f>
        <v>Saturday</v>
      </c>
      <c r="Y255" s="18" t="n">
        <f aca="false">HOUR(Q255)</f>
        <v>9</v>
      </c>
    </row>
    <row r="256" customFormat="false" ht="15" hidden="false" customHeight="false" outlineLevel="0" collapsed="false">
      <c r="A256" s="18" t="s">
        <v>34</v>
      </c>
      <c r="B256" s="18" t="s">
        <v>240</v>
      </c>
      <c r="C256" s="18" t="s">
        <v>241</v>
      </c>
      <c r="D256" s="18" t="s">
        <v>50</v>
      </c>
      <c r="E256" s="18" t="s">
        <v>163</v>
      </c>
      <c r="F256" s="18" t="n">
        <v>2604</v>
      </c>
      <c r="G256" s="18" t="s">
        <v>127</v>
      </c>
      <c r="H256" s="18" t="s">
        <v>293</v>
      </c>
      <c r="I256" s="18" t="s">
        <v>23</v>
      </c>
      <c r="J256" s="18" t="s">
        <v>13</v>
      </c>
      <c r="K256" s="18" t="s">
        <v>12</v>
      </c>
      <c r="L256" s="18" t="s">
        <v>125</v>
      </c>
      <c r="M256" s="18" t="s">
        <v>125</v>
      </c>
      <c r="N256" s="18" t="s">
        <v>125</v>
      </c>
      <c r="O256" s="18"/>
      <c r="P256" s="19" t="n">
        <v>46116.75</v>
      </c>
      <c r="Q256" s="19" t="n">
        <v>46116.8333333333</v>
      </c>
      <c r="R256" s="19" t="n">
        <v>46117.2083333333</v>
      </c>
      <c r="S256" s="20" t="n">
        <f aca="false">ROUND((Q256-P256)*24,4)</f>
        <v>2</v>
      </c>
      <c r="T256" s="18" t="str">
        <f aca="false">TEXT(P256,"YYYY-MM")</f>
        <v>2026-04</v>
      </c>
      <c r="U256" s="18" t="n">
        <f aca="false">RANK(S256,$S$2:$S$670)+COUNTIF($S$2:S256,S256)-1</f>
        <v>327</v>
      </c>
      <c r="V256" s="20" t="n">
        <f aca="false">ROUND((R256-Q256)*24,4)</f>
        <v>9</v>
      </c>
      <c r="W256" s="20" t="n">
        <f aca="false">ROUND((R256-P256)*24,4)</f>
        <v>11</v>
      </c>
      <c r="X256" s="18" t="str">
        <f aca="false">TEXT(P256,"dddd")</f>
        <v>Saturday</v>
      </c>
      <c r="Y256" s="18" t="n">
        <f aca="false">HOUR(Q256)</f>
        <v>20</v>
      </c>
    </row>
    <row r="257" customFormat="false" ht="15" hidden="false" customHeight="false" outlineLevel="0" collapsed="false">
      <c r="A257" s="18" t="s">
        <v>32</v>
      </c>
      <c r="B257" s="18" t="s">
        <v>182</v>
      </c>
      <c r="C257" s="18" t="s">
        <v>183</v>
      </c>
      <c r="D257" s="18" t="s">
        <v>48</v>
      </c>
      <c r="E257" s="18" t="s">
        <v>163</v>
      </c>
      <c r="F257" s="18" t="n">
        <v>2604</v>
      </c>
      <c r="G257" s="18" t="s">
        <v>125</v>
      </c>
      <c r="H257" s="18" t="s">
        <v>294</v>
      </c>
      <c r="I257" s="18" t="s">
        <v>17</v>
      </c>
      <c r="J257" s="18" t="s">
        <v>12</v>
      </c>
      <c r="K257" s="18" t="s">
        <v>13</v>
      </c>
      <c r="L257" s="18" t="s">
        <v>125</v>
      </c>
      <c r="M257" s="18" t="s">
        <v>125</v>
      </c>
      <c r="N257" s="18" t="s">
        <v>125</v>
      </c>
      <c r="O257" s="18"/>
      <c r="P257" s="19" t="n">
        <v>46116.7916666667</v>
      </c>
      <c r="Q257" s="19" t="n">
        <v>46117.3333333333</v>
      </c>
      <c r="R257" s="19" t="n">
        <v>46118.6875</v>
      </c>
      <c r="S257" s="20" t="n">
        <f aca="false">ROUND((Q257-P257)*24,4)</f>
        <v>13</v>
      </c>
      <c r="T257" s="18" t="str">
        <f aca="false">TEXT(P257,"YYYY-MM")</f>
        <v>2026-04</v>
      </c>
      <c r="U257" s="18" t="n">
        <f aca="false">RANK(S257,$S$2:$S$670)+COUNTIF($S$2:S257,S257)-1</f>
        <v>105</v>
      </c>
      <c r="V257" s="20" t="n">
        <f aca="false">ROUND((R257-Q257)*24,4)</f>
        <v>32.5</v>
      </c>
      <c r="W257" s="20" t="n">
        <f aca="false">ROUND((R257-P257)*24,4)</f>
        <v>45.5</v>
      </c>
      <c r="X257" s="18" t="str">
        <f aca="false">TEXT(P257,"dddd")</f>
        <v>Saturday</v>
      </c>
      <c r="Y257" s="18" t="n">
        <f aca="false">HOUR(Q257)</f>
        <v>8</v>
      </c>
    </row>
    <row r="258" customFormat="false" ht="15" hidden="false" customHeight="false" outlineLevel="0" collapsed="false">
      <c r="A258" s="18" t="s">
        <v>34</v>
      </c>
      <c r="B258" s="18" t="s">
        <v>240</v>
      </c>
      <c r="C258" s="18" t="s">
        <v>241</v>
      </c>
      <c r="D258" s="18" t="s">
        <v>50</v>
      </c>
      <c r="E258" s="18" t="s">
        <v>176</v>
      </c>
      <c r="F258" s="18" t="n">
        <v>2604</v>
      </c>
      <c r="G258" s="18" t="s">
        <v>125</v>
      </c>
      <c r="H258" s="18" t="s">
        <v>294</v>
      </c>
      <c r="I258" s="18" t="s">
        <v>17</v>
      </c>
      <c r="J258" s="18" t="s">
        <v>12</v>
      </c>
      <c r="K258" s="18" t="s">
        <v>13</v>
      </c>
      <c r="L258" s="18" t="s">
        <v>125</v>
      </c>
      <c r="M258" s="18" t="s">
        <v>125</v>
      </c>
      <c r="N258" s="18" t="s">
        <v>125</v>
      </c>
      <c r="O258" s="18"/>
      <c r="P258" s="19" t="n">
        <v>46117.2916666667</v>
      </c>
      <c r="Q258" s="19" t="n">
        <v>46117.9166666667</v>
      </c>
      <c r="R258" s="19" t="n">
        <v>46119.75</v>
      </c>
      <c r="S258" s="20" t="n">
        <f aca="false">ROUND((Q258-P258)*24,4)</f>
        <v>15</v>
      </c>
      <c r="T258" s="18" t="str">
        <f aca="false">TEXT(P258,"YYYY-MM")</f>
        <v>2026-04</v>
      </c>
      <c r="U258" s="18" t="n">
        <f aca="false">RANK(S258,$S$2:$S$670)+COUNTIF($S$2:S258,S258)-1</f>
        <v>79</v>
      </c>
      <c r="V258" s="20" t="n">
        <f aca="false">ROUND((R258-Q258)*24,4)</f>
        <v>44</v>
      </c>
      <c r="W258" s="20" t="n">
        <f aca="false">ROUND((R258-P258)*24,4)</f>
        <v>59</v>
      </c>
      <c r="X258" s="18" t="str">
        <f aca="false">TEXT(P258,"dddd")</f>
        <v>Sunday</v>
      </c>
      <c r="Y258" s="18" t="n">
        <f aca="false">HOUR(Q258)</f>
        <v>22</v>
      </c>
    </row>
    <row r="259" customFormat="false" ht="15" hidden="false" customHeight="false" outlineLevel="0" collapsed="false">
      <c r="A259" s="18" t="s">
        <v>32</v>
      </c>
      <c r="B259" s="18" t="s">
        <v>182</v>
      </c>
      <c r="C259" s="18" t="s">
        <v>183</v>
      </c>
      <c r="D259" s="18" t="s">
        <v>48</v>
      </c>
      <c r="E259" s="18" t="s">
        <v>176</v>
      </c>
      <c r="F259" s="18" t="n">
        <v>2604</v>
      </c>
      <c r="G259" s="18" t="s">
        <v>125</v>
      </c>
      <c r="H259" s="18" t="s">
        <v>294</v>
      </c>
      <c r="I259" s="18" t="s">
        <v>23</v>
      </c>
      <c r="J259" s="18" t="s">
        <v>13</v>
      </c>
      <c r="K259" s="18" t="s">
        <v>186</v>
      </c>
      <c r="L259" s="18" t="s">
        <v>125</v>
      </c>
      <c r="M259" s="18" t="s">
        <v>125</v>
      </c>
      <c r="N259" s="18" t="s">
        <v>125</v>
      </c>
      <c r="O259" s="18"/>
      <c r="P259" s="19" t="n">
        <v>46118.9166666667</v>
      </c>
      <c r="Q259" s="19" t="n">
        <v>46118.9375</v>
      </c>
      <c r="R259" s="19" t="n">
        <v>46119.4166666667</v>
      </c>
      <c r="S259" s="20" t="n">
        <f aca="false">ROUND((Q259-P259)*24,4)</f>
        <v>0.5</v>
      </c>
      <c r="T259" s="18" t="str">
        <f aca="false">TEXT(P259,"YYYY-MM")</f>
        <v>2026-04</v>
      </c>
      <c r="U259" s="18" t="n">
        <f aca="false">RANK(S259,$S$2:$S$670)+COUNTIF($S$2:S259,S259)-1</f>
        <v>612</v>
      </c>
      <c r="V259" s="20" t="n">
        <f aca="false">ROUND((R259-Q259)*24,4)</f>
        <v>11.5</v>
      </c>
      <c r="W259" s="20" t="n">
        <f aca="false">ROUND((R259-P259)*24,4)</f>
        <v>12</v>
      </c>
      <c r="X259" s="18" t="str">
        <f aca="false">TEXT(P259,"dddd")</f>
        <v>Monday</v>
      </c>
      <c r="Y259" s="18" t="n">
        <f aca="false">HOUR(Q259)</f>
        <v>22</v>
      </c>
    </row>
    <row r="260" customFormat="false" ht="15" hidden="false" customHeight="false" outlineLevel="0" collapsed="false">
      <c r="A260" s="18" t="s">
        <v>31</v>
      </c>
      <c r="B260" s="18" t="s">
        <v>218</v>
      </c>
      <c r="C260" s="18" t="s">
        <v>219</v>
      </c>
      <c r="D260" s="18" t="s">
        <v>54</v>
      </c>
      <c r="E260" s="18" t="s">
        <v>198</v>
      </c>
      <c r="F260" s="18" t="n">
        <v>1062</v>
      </c>
      <c r="G260" s="18" t="s">
        <v>127</v>
      </c>
      <c r="H260" s="18" t="s">
        <v>295</v>
      </c>
      <c r="I260" s="18" t="s">
        <v>28</v>
      </c>
      <c r="J260" s="18" t="s">
        <v>13</v>
      </c>
      <c r="K260" s="18" t="s">
        <v>12</v>
      </c>
      <c r="L260" s="18" t="s">
        <v>125</v>
      </c>
      <c r="M260" s="18" t="s">
        <v>125</v>
      </c>
      <c r="N260" s="18" t="s">
        <v>125</v>
      </c>
      <c r="O260" s="18"/>
      <c r="P260" s="19" t="n">
        <v>46119.125</v>
      </c>
      <c r="Q260" s="19" t="n">
        <v>46119.1666666667</v>
      </c>
      <c r="R260" s="19" t="n">
        <v>46119.5</v>
      </c>
      <c r="S260" s="20" t="n">
        <f aca="false">ROUND((Q260-P260)*24,4)</f>
        <v>1</v>
      </c>
      <c r="T260" s="18" t="str">
        <f aca="false">TEXT(P260,"YYYY-MM")</f>
        <v>2026-04</v>
      </c>
      <c r="U260" s="18" t="n">
        <f aca="false">RANK(S260,$S$2:$S$670)+COUNTIF($S$2:S260,S260)-1</f>
        <v>442</v>
      </c>
      <c r="V260" s="20" t="n">
        <f aca="false">ROUND((R260-Q260)*24,4)</f>
        <v>8</v>
      </c>
      <c r="W260" s="20" t="n">
        <f aca="false">ROUND((R260-P260)*24,4)</f>
        <v>9</v>
      </c>
      <c r="X260" s="18" t="str">
        <f aca="false">TEXT(P260,"dddd")</f>
        <v>Tuesday</v>
      </c>
      <c r="Y260" s="18" t="n">
        <f aca="false">HOUR(Q260)</f>
        <v>4</v>
      </c>
    </row>
    <row r="261" customFormat="false" ht="15" hidden="false" customHeight="false" outlineLevel="0" collapsed="false">
      <c r="A261" s="18" t="s">
        <v>31</v>
      </c>
      <c r="B261" s="18" t="s">
        <v>218</v>
      </c>
      <c r="C261" s="18" t="s">
        <v>219</v>
      </c>
      <c r="D261" s="18" t="s">
        <v>54</v>
      </c>
      <c r="E261" s="18" t="s">
        <v>168</v>
      </c>
      <c r="F261" s="18" t="n">
        <v>1062</v>
      </c>
      <c r="G261" s="18" t="s">
        <v>125</v>
      </c>
      <c r="H261" s="18" t="s">
        <v>296</v>
      </c>
      <c r="I261" s="18" t="s">
        <v>18</v>
      </c>
      <c r="J261" s="18" t="s">
        <v>12</v>
      </c>
      <c r="K261" s="18" t="s">
        <v>13</v>
      </c>
      <c r="L261" s="18" t="s">
        <v>125</v>
      </c>
      <c r="M261" s="18" t="s">
        <v>125</v>
      </c>
      <c r="N261" s="18" t="s">
        <v>125</v>
      </c>
      <c r="O261" s="18"/>
      <c r="P261" s="19" t="n">
        <v>46119.5833333333</v>
      </c>
      <c r="Q261" s="19" t="n">
        <v>46119.8333333333</v>
      </c>
      <c r="R261" s="19" t="n">
        <v>46120.25</v>
      </c>
      <c r="S261" s="20" t="n">
        <f aca="false">ROUND((Q261-P261)*24,4)</f>
        <v>6</v>
      </c>
      <c r="T261" s="18" t="str">
        <f aca="false">TEXT(P261,"YYYY-MM")</f>
        <v>2026-04</v>
      </c>
      <c r="U261" s="18" t="n">
        <f aca="false">RANK(S261,$S$2:$S$670)+COUNTIF($S$2:S261,S261)-1</f>
        <v>212</v>
      </c>
      <c r="V261" s="20" t="n">
        <f aca="false">ROUND((R261-Q261)*24,4)</f>
        <v>10</v>
      </c>
      <c r="W261" s="20" t="n">
        <f aca="false">ROUND((R261-P261)*24,4)</f>
        <v>16</v>
      </c>
      <c r="X261" s="18" t="str">
        <f aca="false">TEXT(P261,"dddd")</f>
        <v>Tuesday</v>
      </c>
      <c r="Y261" s="18" t="n">
        <f aca="false">HOUR(Q261)</f>
        <v>20</v>
      </c>
    </row>
    <row r="262" customFormat="false" ht="15" hidden="false" customHeight="false" outlineLevel="0" collapsed="false">
      <c r="A262" s="18" t="s">
        <v>36</v>
      </c>
      <c r="B262" s="18" t="s">
        <v>265</v>
      </c>
      <c r="C262" s="18" t="s">
        <v>266</v>
      </c>
      <c r="D262" s="18" t="s">
        <v>47</v>
      </c>
      <c r="E262" s="18" t="s">
        <v>168</v>
      </c>
      <c r="F262" s="18" t="n">
        <v>2603</v>
      </c>
      <c r="G262" s="18" t="s">
        <v>127</v>
      </c>
      <c r="H262" s="18" t="s">
        <v>279</v>
      </c>
      <c r="I262" s="18" t="s">
        <v>23</v>
      </c>
      <c r="J262" s="18" t="s">
        <v>13</v>
      </c>
      <c r="K262" s="18" t="s">
        <v>12</v>
      </c>
      <c r="L262" s="18" t="s">
        <v>125</v>
      </c>
      <c r="M262" s="18" t="s">
        <v>125</v>
      </c>
      <c r="N262" s="18" t="s">
        <v>125</v>
      </c>
      <c r="O262" s="18"/>
      <c r="P262" s="19" t="n">
        <v>46119.7083333333</v>
      </c>
      <c r="Q262" s="19" t="n">
        <v>46119.8125</v>
      </c>
      <c r="R262" s="19" t="n">
        <v>46120.0833333333</v>
      </c>
      <c r="S262" s="20" t="n">
        <f aca="false">ROUND((Q262-P262)*24,4)</f>
        <v>2.5</v>
      </c>
      <c r="T262" s="18" t="str">
        <f aca="false">TEXT(P262,"YYYY-MM")</f>
        <v>2026-04</v>
      </c>
      <c r="U262" s="18" t="n">
        <f aca="false">RANK(S262,$S$2:$S$670)+COUNTIF($S$2:S262,S262)-1</f>
        <v>310</v>
      </c>
      <c r="V262" s="20" t="n">
        <f aca="false">ROUND((R262-Q262)*24,4)</f>
        <v>6.5</v>
      </c>
      <c r="W262" s="20" t="n">
        <f aca="false">ROUND((R262-P262)*24,4)</f>
        <v>9</v>
      </c>
      <c r="X262" s="18" t="str">
        <f aca="false">TEXT(P262,"dddd")</f>
        <v>Tuesday</v>
      </c>
      <c r="Y262" s="18" t="n">
        <f aca="false">HOUR(Q262)</f>
        <v>19</v>
      </c>
    </row>
    <row r="263" customFormat="false" ht="15" hidden="false" customHeight="false" outlineLevel="0" collapsed="false">
      <c r="A263" s="18" t="s">
        <v>34</v>
      </c>
      <c r="B263" s="18" t="s">
        <v>240</v>
      </c>
      <c r="C263" s="18" t="s">
        <v>241</v>
      </c>
      <c r="D263" s="18" t="s">
        <v>50</v>
      </c>
      <c r="E263" s="18" t="s">
        <v>185</v>
      </c>
      <c r="F263" s="18" t="n">
        <v>2604</v>
      </c>
      <c r="G263" s="18" t="s">
        <v>125</v>
      </c>
      <c r="H263" s="18" t="s">
        <v>294</v>
      </c>
      <c r="I263" s="18" t="s">
        <v>23</v>
      </c>
      <c r="J263" s="18" t="s">
        <v>13</v>
      </c>
      <c r="K263" s="18" t="s">
        <v>165</v>
      </c>
      <c r="L263" s="18" t="s">
        <v>125</v>
      </c>
      <c r="M263" s="18" t="s">
        <v>125</v>
      </c>
      <c r="N263" s="18" t="s">
        <v>125</v>
      </c>
      <c r="O263" s="18"/>
      <c r="P263" s="19" t="n">
        <v>46119.9583333333</v>
      </c>
      <c r="Q263" s="19" t="n">
        <v>46120.125</v>
      </c>
      <c r="R263" s="19" t="n">
        <v>46120.625</v>
      </c>
      <c r="S263" s="20" t="n">
        <f aca="false">ROUND((Q263-P263)*24,4)</f>
        <v>4</v>
      </c>
      <c r="T263" s="18" t="str">
        <f aca="false">TEXT(P263,"YYYY-MM")</f>
        <v>2026-04</v>
      </c>
      <c r="U263" s="18" t="n">
        <f aca="false">RANK(S263,$S$2:$S$670)+COUNTIF($S$2:S263,S263)-1</f>
        <v>249</v>
      </c>
      <c r="V263" s="20" t="n">
        <f aca="false">ROUND((R263-Q263)*24,4)</f>
        <v>12</v>
      </c>
      <c r="W263" s="20" t="n">
        <f aca="false">ROUND((R263-P263)*24,4)</f>
        <v>16</v>
      </c>
      <c r="X263" s="18" t="str">
        <f aca="false">TEXT(P263,"dddd")</f>
        <v>Tuesday</v>
      </c>
      <c r="Y263" s="18" t="n">
        <f aca="false">HOUR(Q263)</f>
        <v>3</v>
      </c>
    </row>
    <row r="264" customFormat="false" ht="15" hidden="false" customHeight="false" outlineLevel="0" collapsed="false">
      <c r="A264" s="18" t="s">
        <v>33</v>
      </c>
      <c r="B264" s="18" t="s">
        <v>246</v>
      </c>
      <c r="C264" s="18" t="s">
        <v>247</v>
      </c>
      <c r="D264" s="18" t="s">
        <v>51</v>
      </c>
      <c r="E264" s="18" t="s">
        <v>163</v>
      </c>
      <c r="F264" s="18" t="n">
        <v>144</v>
      </c>
      <c r="G264" s="18" t="s">
        <v>127</v>
      </c>
      <c r="H264" s="18" t="s">
        <v>297</v>
      </c>
      <c r="I264" s="18" t="s">
        <v>26</v>
      </c>
      <c r="J264" s="18" t="s">
        <v>13</v>
      </c>
      <c r="K264" s="18" t="s">
        <v>12</v>
      </c>
      <c r="L264" s="18" t="s">
        <v>125</v>
      </c>
      <c r="M264" s="18" t="s">
        <v>125</v>
      </c>
      <c r="N264" s="18" t="s">
        <v>125</v>
      </c>
      <c r="O264" s="18"/>
      <c r="P264" s="19" t="n">
        <v>46119.9583333333</v>
      </c>
      <c r="Q264" s="19" t="n">
        <v>46120.0833333333</v>
      </c>
      <c r="R264" s="19" t="n">
        <v>46120.4791666667</v>
      </c>
      <c r="S264" s="20" t="n">
        <f aca="false">ROUND((Q264-P264)*24,4)</f>
        <v>3</v>
      </c>
      <c r="T264" s="18" t="str">
        <f aca="false">TEXT(P264,"YYYY-MM")</f>
        <v>2026-04</v>
      </c>
      <c r="U264" s="18" t="n">
        <f aca="false">RANK(S264,$S$2:$S$670)+COUNTIF($S$2:S264,S264)-1</f>
        <v>281</v>
      </c>
      <c r="V264" s="20" t="n">
        <f aca="false">ROUND((R264-Q264)*24,4)</f>
        <v>9.5</v>
      </c>
      <c r="W264" s="20" t="n">
        <f aca="false">ROUND((R264-P264)*24,4)</f>
        <v>12.5</v>
      </c>
      <c r="X264" s="18" t="str">
        <f aca="false">TEXT(P264,"dddd")</f>
        <v>Tuesday</v>
      </c>
      <c r="Y264" s="18" t="n">
        <f aca="false">HOUR(Q264)</f>
        <v>2</v>
      </c>
    </row>
    <row r="265" customFormat="false" ht="15" hidden="false" customHeight="false" outlineLevel="0" collapsed="false">
      <c r="A265" s="18" t="s">
        <v>36</v>
      </c>
      <c r="B265" s="18" t="s">
        <v>265</v>
      </c>
      <c r="C265" s="18" t="s">
        <v>266</v>
      </c>
      <c r="D265" s="18" t="s">
        <v>47</v>
      </c>
      <c r="E265" s="18" t="s">
        <v>163</v>
      </c>
      <c r="F265" s="18" t="n">
        <v>2603</v>
      </c>
      <c r="G265" s="18" t="s">
        <v>125</v>
      </c>
      <c r="H265" s="18" t="s">
        <v>280</v>
      </c>
      <c r="I265" s="18" t="s">
        <v>17</v>
      </c>
      <c r="J265" s="18" t="s">
        <v>12</v>
      </c>
      <c r="K265" s="18" t="s">
        <v>13</v>
      </c>
      <c r="L265" s="18" t="s">
        <v>125</v>
      </c>
      <c r="M265" s="18" t="s">
        <v>125</v>
      </c>
      <c r="N265" s="18" t="s">
        <v>125</v>
      </c>
      <c r="O265" s="18"/>
      <c r="P265" s="19" t="n">
        <v>46120.1666666667</v>
      </c>
      <c r="Q265" s="19" t="n">
        <v>46120.8541666667</v>
      </c>
      <c r="R265" s="19" t="n">
        <v>46122.2083333333</v>
      </c>
      <c r="S265" s="20" t="n">
        <f aca="false">ROUND((Q265-P265)*24,4)</f>
        <v>16.5</v>
      </c>
      <c r="T265" s="18" t="str">
        <f aca="false">TEXT(P265,"YYYY-MM")</f>
        <v>2026-04</v>
      </c>
      <c r="U265" s="18" t="n">
        <f aca="false">RANK(S265,$S$2:$S$670)+COUNTIF($S$2:S265,S265)-1</f>
        <v>71</v>
      </c>
      <c r="V265" s="20" t="n">
        <f aca="false">ROUND((R265-Q265)*24,4)</f>
        <v>32.5</v>
      </c>
      <c r="W265" s="20" t="n">
        <f aca="false">ROUND((R265-P265)*24,4)</f>
        <v>49</v>
      </c>
      <c r="X265" s="18" t="str">
        <f aca="false">TEXT(P265,"dddd")</f>
        <v>Wednesday</v>
      </c>
      <c r="Y265" s="18" t="n">
        <f aca="false">HOUR(Q265)</f>
        <v>20</v>
      </c>
    </row>
    <row r="266" customFormat="false" ht="15" hidden="false" customHeight="false" outlineLevel="0" collapsed="false">
      <c r="A266" s="18" t="s">
        <v>31</v>
      </c>
      <c r="B266" s="18" t="s">
        <v>218</v>
      </c>
      <c r="C266" s="18" t="s">
        <v>219</v>
      </c>
      <c r="D266" s="18" t="s">
        <v>54</v>
      </c>
      <c r="E266" s="18" t="s">
        <v>163</v>
      </c>
      <c r="F266" s="18" t="n">
        <v>1062</v>
      </c>
      <c r="G266" s="18" t="s">
        <v>125</v>
      </c>
      <c r="H266" s="18" t="s">
        <v>296</v>
      </c>
      <c r="I266" s="18" t="s">
        <v>24</v>
      </c>
      <c r="J266" s="18" t="s">
        <v>13</v>
      </c>
      <c r="K266" s="18" t="s">
        <v>165</v>
      </c>
      <c r="L266" s="18" t="s">
        <v>125</v>
      </c>
      <c r="M266" s="18" t="s">
        <v>125</v>
      </c>
      <c r="N266" s="18" t="s">
        <v>125</v>
      </c>
      <c r="O266" s="18"/>
      <c r="P266" s="19" t="n">
        <v>46120.4166666667</v>
      </c>
      <c r="Q266" s="19" t="n">
        <v>46120.4583333333</v>
      </c>
      <c r="R266" s="19" t="n">
        <v>46120.8333333333</v>
      </c>
      <c r="S266" s="20" t="n">
        <f aca="false">ROUND((Q266-P266)*24,4)</f>
        <v>1</v>
      </c>
      <c r="T266" s="18" t="str">
        <f aca="false">TEXT(P266,"YYYY-MM")</f>
        <v>2026-04</v>
      </c>
      <c r="U266" s="18" t="n">
        <f aca="false">RANK(S266,$S$2:$S$670)+COUNTIF($S$2:S266,S266)-1</f>
        <v>443</v>
      </c>
      <c r="V266" s="20" t="n">
        <f aca="false">ROUND((R266-Q266)*24,4)</f>
        <v>9</v>
      </c>
      <c r="W266" s="20" t="n">
        <f aca="false">ROUND((R266-P266)*24,4)</f>
        <v>10</v>
      </c>
      <c r="X266" s="18" t="str">
        <f aca="false">TEXT(P266,"dddd")</f>
        <v>Wednesday</v>
      </c>
      <c r="Y266" s="18" t="n">
        <f aca="false">HOUR(Q266)</f>
        <v>11</v>
      </c>
    </row>
    <row r="267" customFormat="false" ht="15" hidden="false" customHeight="false" outlineLevel="0" collapsed="false">
      <c r="A267" s="18" t="s">
        <v>35</v>
      </c>
      <c r="B267" s="18" t="s">
        <v>228</v>
      </c>
      <c r="C267" s="18" t="s">
        <v>229</v>
      </c>
      <c r="D267" s="18" t="s">
        <v>52</v>
      </c>
      <c r="E267" s="18" t="s">
        <v>198</v>
      </c>
      <c r="F267" s="18" t="n">
        <v>26003</v>
      </c>
      <c r="G267" s="18" t="s">
        <v>127</v>
      </c>
      <c r="H267" s="18" t="s">
        <v>298</v>
      </c>
      <c r="I267" s="18" t="s">
        <v>28</v>
      </c>
      <c r="J267" s="18" t="s">
        <v>13</v>
      </c>
      <c r="K267" s="18" t="s">
        <v>12</v>
      </c>
      <c r="L267" s="18" t="s">
        <v>125</v>
      </c>
      <c r="M267" s="18" t="s">
        <v>125</v>
      </c>
      <c r="N267" s="18" t="s">
        <v>125</v>
      </c>
      <c r="O267" s="18"/>
      <c r="P267" s="19" t="n">
        <v>46120.5416666667</v>
      </c>
      <c r="Q267" s="19" t="n">
        <v>46120.5833333333</v>
      </c>
      <c r="R267" s="19" t="n">
        <v>46121</v>
      </c>
      <c r="S267" s="20" t="n">
        <f aca="false">ROUND((Q267-P267)*24,4)</f>
        <v>1</v>
      </c>
      <c r="T267" s="18" t="str">
        <f aca="false">TEXT(P267,"YYYY-MM")</f>
        <v>2026-04</v>
      </c>
      <c r="U267" s="18" t="n">
        <f aca="false">RANK(S267,$S$2:$S$670)+COUNTIF($S$2:S267,S267)-1</f>
        <v>444</v>
      </c>
      <c r="V267" s="20" t="n">
        <f aca="false">ROUND((R267-Q267)*24,4)</f>
        <v>10</v>
      </c>
      <c r="W267" s="20" t="n">
        <f aca="false">ROUND((R267-P267)*24,4)</f>
        <v>11</v>
      </c>
      <c r="X267" s="18" t="str">
        <f aca="false">TEXT(P267,"dddd")</f>
        <v>Wednesday</v>
      </c>
      <c r="Y267" s="18" t="n">
        <f aca="false">HOUR(Q267)</f>
        <v>14</v>
      </c>
    </row>
    <row r="268" customFormat="false" ht="15" hidden="false" customHeight="false" outlineLevel="0" collapsed="false">
      <c r="A268" s="18" t="s">
        <v>33</v>
      </c>
      <c r="B268" s="18" t="s">
        <v>246</v>
      </c>
      <c r="C268" s="18" t="s">
        <v>247</v>
      </c>
      <c r="D268" s="18" t="s">
        <v>51</v>
      </c>
      <c r="E268" s="18" t="s">
        <v>176</v>
      </c>
      <c r="F268" s="18" t="n">
        <v>144</v>
      </c>
      <c r="G268" s="18" t="s">
        <v>125</v>
      </c>
      <c r="H268" s="18" t="s">
        <v>299</v>
      </c>
      <c r="I268" s="18" t="s">
        <v>18</v>
      </c>
      <c r="J268" s="18" t="s">
        <v>12</v>
      </c>
      <c r="K268" s="18" t="s">
        <v>13</v>
      </c>
      <c r="L268" s="18" t="s">
        <v>125</v>
      </c>
      <c r="M268" s="18" t="s">
        <v>125</v>
      </c>
      <c r="N268" s="18" t="s">
        <v>125</v>
      </c>
      <c r="O268" s="18"/>
      <c r="P268" s="19" t="n">
        <v>46120.5625</v>
      </c>
      <c r="Q268" s="19" t="n">
        <v>46120.8333333333</v>
      </c>
      <c r="R268" s="19" t="n">
        <v>46121.7916666667</v>
      </c>
      <c r="S268" s="20" t="n">
        <f aca="false">ROUND((Q268-P268)*24,4)</f>
        <v>6.5</v>
      </c>
      <c r="T268" s="18" t="str">
        <f aca="false">TEXT(P268,"YYYY-MM")</f>
        <v>2026-04</v>
      </c>
      <c r="U268" s="18" t="n">
        <f aca="false">RANK(S268,$S$2:$S$670)+COUNTIF($S$2:S268,S268)-1</f>
        <v>202</v>
      </c>
      <c r="V268" s="20" t="n">
        <f aca="false">ROUND((R268-Q268)*24,4)</f>
        <v>23</v>
      </c>
      <c r="W268" s="20" t="n">
        <f aca="false">ROUND((R268-P268)*24,4)</f>
        <v>29.5</v>
      </c>
      <c r="X268" s="18" t="str">
        <f aca="false">TEXT(P268,"dddd")</f>
        <v>Wednesday</v>
      </c>
      <c r="Y268" s="18" t="n">
        <f aca="false">HOUR(Q268)</f>
        <v>20</v>
      </c>
    </row>
    <row r="269" customFormat="false" ht="15" hidden="false" customHeight="false" outlineLevel="0" collapsed="false">
      <c r="A269" s="18" t="s">
        <v>38</v>
      </c>
      <c r="B269" s="18" t="s">
        <v>255</v>
      </c>
      <c r="C269" s="18" t="s">
        <v>256</v>
      </c>
      <c r="D269" s="18" t="s">
        <v>46</v>
      </c>
      <c r="E269" s="18" t="s">
        <v>163</v>
      </c>
      <c r="F269" s="18" t="n">
        <v>2603</v>
      </c>
      <c r="G269" s="18" t="s">
        <v>127</v>
      </c>
      <c r="H269" s="18" t="s">
        <v>279</v>
      </c>
      <c r="I269" s="18" t="s">
        <v>23</v>
      </c>
      <c r="J269" s="18" t="s">
        <v>13</v>
      </c>
      <c r="K269" s="18" t="s">
        <v>181</v>
      </c>
      <c r="L269" s="18" t="s">
        <v>125</v>
      </c>
      <c r="M269" s="18" t="s">
        <v>125</v>
      </c>
      <c r="N269" s="18" t="s">
        <v>125</v>
      </c>
      <c r="O269" s="18"/>
      <c r="P269" s="19" t="n">
        <v>46121</v>
      </c>
      <c r="Q269" s="19" t="n">
        <v>46121.075</v>
      </c>
      <c r="R269" s="19" t="n">
        <v>46121.9916666667</v>
      </c>
      <c r="S269" s="20" t="n">
        <f aca="false">ROUND((Q269-P269)*24,4)</f>
        <v>1.8</v>
      </c>
      <c r="T269" s="18" t="str">
        <f aca="false">TEXT(P269,"YYYY-MM")</f>
        <v>2026-04</v>
      </c>
      <c r="U269" s="18" t="n">
        <f aca="false">RANK(S269,$S$2:$S$670)+COUNTIF($S$2:S269,S269)-1</f>
        <v>352</v>
      </c>
      <c r="V269" s="20" t="n">
        <f aca="false">ROUND((R269-Q269)*24,4)</f>
        <v>22</v>
      </c>
      <c r="W269" s="20" t="n">
        <f aca="false">ROUND((R269-P269)*24,4)</f>
        <v>23.8</v>
      </c>
      <c r="X269" s="18" t="str">
        <f aca="false">TEXT(P269,"dddd")</f>
        <v>Thursday</v>
      </c>
      <c r="Y269" s="18" t="n">
        <f aca="false">HOUR(Q269)</f>
        <v>1</v>
      </c>
    </row>
    <row r="270" customFormat="false" ht="15" hidden="false" customHeight="false" outlineLevel="0" collapsed="false">
      <c r="A270" s="18" t="s">
        <v>35</v>
      </c>
      <c r="B270" s="18" t="s">
        <v>228</v>
      </c>
      <c r="C270" s="18" t="s">
        <v>229</v>
      </c>
      <c r="D270" s="18" t="s">
        <v>52</v>
      </c>
      <c r="E270" s="18" t="s">
        <v>168</v>
      </c>
      <c r="F270" s="18" t="n">
        <v>26003</v>
      </c>
      <c r="G270" s="18" t="s">
        <v>125</v>
      </c>
      <c r="H270" s="18" t="s">
        <v>300</v>
      </c>
      <c r="I270" s="18" t="s">
        <v>19</v>
      </c>
      <c r="J270" s="18" t="s">
        <v>12</v>
      </c>
      <c r="K270" s="18" t="s">
        <v>13</v>
      </c>
      <c r="L270" s="18" t="s">
        <v>125</v>
      </c>
      <c r="M270" s="18" t="s">
        <v>125</v>
      </c>
      <c r="N270" s="18" t="s">
        <v>125</v>
      </c>
      <c r="O270" s="18"/>
      <c r="P270" s="19" t="n">
        <v>46121.0833333333</v>
      </c>
      <c r="Q270" s="19" t="n">
        <v>46121.2083333333</v>
      </c>
      <c r="R270" s="19" t="n">
        <v>46122.875</v>
      </c>
      <c r="S270" s="20" t="n">
        <f aca="false">ROUND((Q270-P270)*24,4)</f>
        <v>3</v>
      </c>
      <c r="T270" s="18" t="str">
        <f aca="false">TEXT(P270,"YYYY-MM")</f>
        <v>2026-04</v>
      </c>
      <c r="U270" s="18" t="n">
        <f aca="false">RANK(S270,$S$2:$S$670)+COUNTIF($S$2:S270,S270)-1</f>
        <v>282</v>
      </c>
      <c r="V270" s="20" t="n">
        <f aca="false">ROUND((R270-Q270)*24,4)</f>
        <v>40</v>
      </c>
      <c r="W270" s="20" t="n">
        <f aca="false">ROUND((R270-P270)*24,4)</f>
        <v>43</v>
      </c>
      <c r="X270" s="18" t="str">
        <f aca="false">TEXT(P270,"dddd")</f>
        <v>Thursday</v>
      </c>
      <c r="Y270" s="18" t="n">
        <f aca="false">HOUR(Q270)</f>
        <v>5</v>
      </c>
    </row>
    <row r="271" customFormat="false" ht="15" hidden="false" customHeight="false" outlineLevel="0" collapsed="false">
      <c r="A271" s="18" t="s">
        <v>33</v>
      </c>
      <c r="B271" s="18" t="s">
        <v>174</v>
      </c>
      <c r="C271" s="18" t="s">
        <v>175</v>
      </c>
      <c r="D271" s="18" t="s">
        <v>49</v>
      </c>
      <c r="E271" s="18" t="s">
        <v>163</v>
      </c>
      <c r="F271" s="18" t="n">
        <v>2604</v>
      </c>
      <c r="G271" s="18" t="s">
        <v>127</v>
      </c>
      <c r="H271" s="18" t="s">
        <v>293</v>
      </c>
      <c r="I271" s="18" t="s">
        <v>23</v>
      </c>
      <c r="J271" s="18" t="s">
        <v>13</v>
      </c>
      <c r="K271" s="18" t="s">
        <v>12</v>
      </c>
      <c r="L271" s="18" t="s">
        <v>125</v>
      </c>
      <c r="M271" s="18" t="s">
        <v>125</v>
      </c>
      <c r="N271" s="18" t="s">
        <v>125</v>
      </c>
      <c r="O271" s="18"/>
      <c r="P271" s="19" t="n">
        <v>46121.125</v>
      </c>
      <c r="Q271" s="19" t="n">
        <v>46121.1666666667</v>
      </c>
      <c r="R271" s="19" t="n">
        <v>46121.5833333333</v>
      </c>
      <c r="S271" s="20" t="n">
        <f aca="false">ROUND((Q271-P271)*24,4)</f>
        <v>1</v>
      </c>
      <c r="T271" s="18" t="str">
        <f aca="false">TEXT(P271,"YYYY-MM")</f>
        <v>2026-04</v>
      </c>
      <c r="U271" s="18" t="n">
        <f aca="false">RANK(S271,$S$2:$S$670)+COUNTIF($S$2:S271,S271)-1</f>
        <v>445</v>
      </c>
      <c r="V271" s="20" t="n">
        <f aca="false">ROUND((R271-Q271)*24,4)</f>
        <v>10</v>
      </c>
      <c r="W271" s="20" t="n">
        <f aca="false">ROUND((R271-P271)*24,4)</f>
        <v>11</v>
      </c>
      <c r="X271" s="18" t="str">
        <f aca="false">TEXT(P271,"dddd")</f>
        <v>Thursday</v>
      </c>
      <c r="Y271" s="18" t="n">
        <f aca="false">HOUR(Q271)</f>
        <v>4</v>
      </c>
    </row>
    <row r="272" customFormat="false" ht="15" hidden="false" customHeight="false" outlineLevel="0" collapsed="false">
      <c r="A272" s="18" t="s">
        <v>33</v>
      </c>
      <c r="B272" s="18" t="s">
        <v>174</v>
      </c>
      <c r="C272" s="18" t="s">
        <v>175</v>
      </c>
      <c r="D272" s="18" t="s">
        <v>49</v>
      </c>
      <c r="E272" s="18" t="s">
        <v>176</v>
      </c>
      <c r="F272" s="18" t="n">
        <v>2604</v>
      </c>
      <c r="G272" s="18" t="s">
        <v>125</v>
      </c>
      <c r="H272" s="18" t="s">
        <v>294</v>
      </c>
      <c r="I272" s="18" t="s">
        <v>18</v>
      </c>
      <c r="J272" s="18" t="s">
        <v>12</v>
      </c>
      <c r="K272" s="18" t="s">
        <v>13</v>
      </c>
      <c r="L272" s="18" t="s">
        <v>125</v>
      </c>
      <c r="M272" s="18" t="s">
        <v>125</v>
      </c>
      <c r="N272" s="18" t="s">
        <v>125</v>
      </c>
      <c r="O272" s="18"/>
      <c r="P272" s="19" t="n">
        <v>46121.6666666667</v>
      </c>
      <c r="Q272" s="19" t="n">
        <v>46121.8333333333</v>
      </c>
      <c r="R272" s="19" t="n">
        <v>46122.2916666667</v>
      </c>
      <c r="S272" s="20" t="n">
        <f aca="false">ROUND((Q272-P272)*24,4)</f>
        <v>4</v>
      </c>
      <c r="T272" s="18" t="str">
        <f aca="false">TEXT(P272,"YYYY-MM")</f>
        <v>2026-04</v>
      </c>
      <c r="U272" s="18" t="n">
        <f aca="false">RANK(S272,$S$2:$S$670)+COUNTIF($S$2:S272,S272)-1</f>
        <v>250</v>
      </c>
      <c r="V272" s="20" t="n">
        <f aca="false">ROUND((R272-Q272)*24,4)</f>
        <v>11</v>
      </c>
      <c r="W272" s="20" t="n">
        <f aca="false">ROUND((R272-P272)*24,4)</f>
        <v>15</v>
      </c>
      <c r="X272" s="18" t="str">
        <f aca="false">TEXT(P272,"dddd")</f>
        <v>Thursday</v>
      </c>
      <c r="Y272" s="18" t="n">
        <f aca="false">HOUR(Q272)</f>
        <v>20</v>
      </c>
    </row>
    <row r="273" customFormat="false" ht="15" hidden="false" customHeight="false" outlineLevel="0" collapsed="false">
      <c r="A273" s="18" t="s">
        <v>33</v>
      </c>
      <c r="B273" s="18" t="s">
        <v>246</v>
      </c>
      <c r="C273" s="18" t="s">
        <v>247</v>
      </c>
      <c r="D273" s="18" t="s">
        <v>51</v>
      </c>
      <c r="E273" s="18" t="s">
        <v>185</v>
      </c>
      <c r="F273" s="18" t="n">
        <v>144</v>
      </c>
      <c r="G273" s="18" t="s">
        <v>125</v>
      </c>
      <c r="H273" s="18" t="s">
        <v>299</v>
      </c>
      <c r="I273" s="18" t="s">
        <v>23</v>
      </c>
      <c r="J273" s="18" t="s">
        <v>13</v>
      </c>
      <c r="K273" s="18" t="s">
        <v>165</v>
      </c>
      <c r="L273" s="18" t="s">
        <v>125</v>
      </c>
      <c r="M273" s="18" t="s">
        <v>125</v>
      </c>
      <c r="N273" s="18" t="s">
        <v>125</v>
      </c>
      <c r="O273" s="18"/>
      <c r="P273" s="19" t="n">
        <v>46121.9583333333</v>
      </c>
      <c r="Q273" s="19" t="n">
        <v>46122.0416666667</v>
      </c>
      <c r="R273" s="19" t="n">
        <v>46122.4166666667</v>
      </c>
      <c r="S273" s="20" t="n">
        <f aca="false">ROUND((Q273-P273)*24,4)</f>
        <v>2</v>
      </c>
      <c r="T273" s="18" t="str">
        <f aca="false">TEXT(P273,"YYYY-MM")</f>
        <v>2026-04</v>
      </c>
      <c r="U273" s="18" t="n">
        <f aca="false">RANK(S273,$S$2:$S$670)+COUNTIF($S$2:S273,S273)-1</f>
        <v>328</v>
      </c>
      <c r="V273" s="20" t="n">
        <f aca="false">ROUND((R273-Q273)*24,4)</f>
        <v>9</v>
      </c>
      <c r="W273" s="20" t="n">
        <f aca="false">ROUND((R273-P273)*24,4)</f>
        <v>11</v>
      </c>
      <c r="X273" s="18" t="str">
        <f aca="false">TEXT(P273,"dddd")</f>
        <v>Thursday</v>
      </c>
      <c r="Y273" s="18" t="n">
        <f aca="false">HOUR(Q273)</f>
        <v>1</v>
      </c>
    </row>
    <row r="274" customFormat="false" ht="15" hidden="false" customHeight="false" outlineLevel="0" collapsed="false">
      <c r="A274" s="18" t="s">
        <v>33</v>
      </c>
      <c r="B274" s="18" t="s">
        <v>174</v>
      </c>
      <c r="C274" s="18" t="s">
        <v>175</v>
      </c>
      <c r="D274" s="18" t="s">
        <v>49</v>
      </c>
      <c r="E274" s="18" t="s">
        <v>185</v>
      </c>
      <c r="F274" s="18" t="n">
        <v>2604</v>
      </c>
      <c r="G274" s="18" t="s">
        <v>125</v>
      </c>
      <c r="H274" s="18" t="s">
        <v>294</v>
      </c>
      <c r="I274" s="18" t="s">
        <v>23</v>
      </c>
      <c r="J274" s="18" t="s">
        <v>13</v>
      </c>
      <c r="K274" s="18" t="s">
        <v>165</v>
      </c>
      <c r="L274" s="18" t="s">
        <v>125</v>
      </c>
      <c r="M274" s="18" t="s">
        <v>125</v>
      </c>
      <c r="N274" s="18" t="s">
        <v>125</v>
      </c>
      <c r="O274" s="18"/>
      <c r="P274" s="19" t="n">
        <v>46122.4166666667</v>
      </c>
      <c r="Q274" s="19" t="n">
        <v>46122.5625</v>
      </c>
      <c r="R274" s="19" t="n">
        <v>46123.0208333333</v>
      </c>
      <c r="S274" s="20" t="n">
        <f aca="false">ROUND((Q274-P274)*24,4)</f>
        <v>3.5</v>
      </c>
      <c r="T274" s="18" t="str">
        <f aca="false">TEXT(P274,"YYYY-MM")</f>
        <v>2026-04</v>
      </c>
      <c r="U274" s="18" t="n">
        <f aca="false">RANK(S274,$S$2:$S$670)+COUNTIF($S$2:S274,S274)-1</f>
        <v>262</v>
      </c>
      <c r="V274" s="20" t="n">
        <f aca="false">ROUND((R274-Q274)*24,4)</f>
        <v>11</v>
      </c>
      <c r="W274" s="20" t="n">
        <f aca="false">ROUND((R274-P274)*24,4)</f>
        <v>14.5</v>
      </c>
      <c r="X274" s="18" t="str">
        <f aca="false">TEXT(P274,"dddd")</f>
        <v>Friday</v>
      </c>
      <c r="Y274" s="18" t="n">
        <f aca="false">HOUR(Q274)</f>
        <v>13</v>
      </c>
    </row>
    <row r="275" customFormat="false" ht="15" hidden="false" customHeight="false" outlineLevel="0" collapsed="false">
      <c r="A275" s="18" t="s">
        <v>36</v>
      </c>
      <c r="B275" s="18" t="s">
        <v>265</v>
      </c>
      <c r="C275" s="18" t="s">
        <v>266</v>
      </c>
      <c r="D275" s="18" t="s">
        <v>47</v>
      </c>
      <c r="E275" s="18" t="s">
        <v>176</v>
      </c>
      <c r="F275" s="18" t="n">
        <v>2603</v>
      </c>
      <c r="G275" s="18" t="s">
        <v>125</v>
      </c>
      <c r="H275" s="18" t="s">
        <v>280</v>
      </c>
      <c r="I275" s="18" t="s">
        <v>23</v>
      </c>
      <c r="J275" s="18" t="s">
        <v>13</v>
      </c>
      <c r="K275" s="18" t="s">
        <v>186</v>
      </c>
      <c r="L275" s="18" t="s">
        <v>125</v>
      </c>
      <c r="M275" s="18" t="s">
        <v>125</v>
      </c>
      <c r="N275" s="18" t="s">
        <v>125</v>
      </c>
      <c r="O275" s="18"/>
      <c r="P275" s="19" t="n">
        <v>46122.4166666667</v>
      </c>
      <c r="Q275" s="19" t="n">
        <v>46122.4583333333</v>
      </c>
      <c r="R275" s="19" t="n">
        <v>46122.9583333333</v>
      </c>
      <c r="S275" s="20" t="n">
        <f aca="false">ROUND((Q275-P275)*24,4)</f>
        <v>1</v>
      </c>
      <c r="T275" s="18" t="str">
        <f aca="false">TEXT(P275,"YYYY-MM")</f>
        <v>2026-04</v>
      </c>
      <c r="U275" s="18" t="n">
        <f aca="false">RANK(S275,$S$2:$S$670)+COUNTIF($S$2:S275,S275)-1</f>
        <v>446</v>
      </c>
      <c r="V275" s="20" t="n">
        <f aca="false">ROUND((R275-Q275)*24,4)</f>
        <v>12</v>
      </c>
      <c r="W275" s="20" t="n">
        <f aca="false">ROUND((R275-P275)*24,4)</f>
        <v>13</v>
      </c>
      <c r="X275" s="18" t="str">
        <f aca="false">TEXT(P275,"dddd")</f>
        <v>Friday</v>
      </c>
      <c r="Y275" s="18" t="n">
        <f aca="false">HOUR(Q275)</f>
        <v>11</v>
      </c>
    </row>
    <row r="276" customFormat="false" ht="15" hidden="false" customHeight="false" outlineLevel="0" collapsed="false">
      <c r="A276" s="18" t="s">
        <v>35</v>
      </c>
      <c r="B276" s="18" t="s">
        <v>228</v>
      </c>
      <c r="C276" s="18" t="s">
        <v>229</v>
      </c>
      <c r="D276" s="18" t="s">
        <v>52</v>
      </c>
      <c r="E276" s="18" t="s">
        <v>163</v>
      </c>
      <c r="F276" s="18" t="n">
        <v>26003</v>
      </c>
      <c r="G276" s="18" t="s">
        <v>125</v>
      </c>
      <c r="H276" s="18" t="s">
        <v>300</v>
      </c>
      <c r="I276" s="18" t="s">
        <v>24</v>
      </c>
      <c r="J276" s="18" t="s">
        <v>13</v>
      </c>
      <c r="K276" s="18" t="s">
        <v>186</v>
      </c>
      <c r="L276" s="18" t="s">
        <v>125</v>
      </c>
      <c r="M276" s="18" t="s">
        <v>125</v>
      </c>
      <c r="N276" s="18" t="s">
        <v>125</v>
      </c>
      <c r="O276" s="18"/>
      <c r="P276" s="19" t="n">
        <v>46123.0833333333</v>
      </c>
      <c r="Q276" s="19" t="n">
        <v>46123.125</v>
      </c>
      <c r="R276" s="19" t="n">
        <v>46123.6666666667</v>
      </c>
      <c r="S276" s="20" t="n">
        <f aca="false">ROUND((Q276-P276)*24,4)</f>
        <v>1</v>
      </c>
      <c r="T276" s="18" t="str">
        <f aca="false">TEXT(P276,"YYYY-MM")</f>
        <v>2026-04</v>
      </c>
      <c r="U276" s="18" t="n">
        <f aca="false">RANK(S276,$S$2:$S$670)+COUNTIF($S$2:S276,S276)-1</f>
        <v>447</v>
      </c>
      <c r="V276" s="20" t="n">
        <f aca="false">ROUND((R276-Q276)*24,4)</f>
        <v>13</v>
      </c>
      <c r="W276" s="20" t="n">
        <f aca="false">ROUND((R276-P276)*24,4)</f>
        <v>14</v>
      </c>
      <c r="X276" s="18" t="str">
        <f aca="false">TEXT(P276,"dddd")</f>
        <v>Saturday</v>
      </c>
      <c r="Y276" s="18" t="n">
        <f aca="false">HOUR(Q276)</f>
        <v>3</v>
      </c>
    </row>
    <row r="277" customFormat="false" ht="15" hidden="false" customHeight="false" outlineLevel="0" collapsed="false">
      <c r="A277" s="18" t="s">
        <v>37</v>
      </c>
      <c r="B277" s="18" t="s">
        <v>208</v>
      </c>
      <c r="C277" s="18" t="s">
        <v>209</v>
      </c>
      <c r="D277" s="18" t="s">
        <v>46</v>
      </c>
      <c r="E277" s="18" t="s">
        <v>163</v>
      </c>
      <c r="F277" s="18" t="n">
        <v>2603</v>
      </c>
      <c r="G277" s="18" t="s">
        <v>127</v>
      </c>
      <c r="H277" s="18" t="s">
        <v>279</v>
      </c>
      <c r="I277" s="18" t="s">
        <v>20</v>
      </c>
      <c r="J277" s="18" t="s">
        <v>13</v>
      </c>
      <c r="K277" s="18" t="s">
        <v>12</v>
      </c>
      <c r="L277" s="18" t="s">
        <v>125</v>
      </c>
      <c r="M277" s="18" t="s">
        <v>125</v>
      </c>
      <c r="N277" s="18" t="s">
        <v>125</v>
      </c>
      <c r="O277" s="18"/>
      <c r="P277" s="19" t="n">
        <v>46123.2708333333</v>
      </c>
      <c r="Q277" s="19" t="n">
        <v>46123.3125</v>
      </c>
      <c r="R277" s="19" t="n">
        <v>46123.7291666667</v>
      </c>
      <c r="S277" s="20" t="n">
        <f aca="false">ROUND((Q277-P277)*24,4)</f>
        <v>1</v>
      </c>
      <c r="T277" s="18" t="str">
        <f aca="false">TEXT(P277,"YYYY-MM")</f>
        <v>2026-04</v>
      </c>
      <c r="U277" s="18" t="n">
        <f aca="false">RANK(S277,$S$2:$S$670)+COUNTIF($S$2:S277,S277)-1</f>
        <v>448</v>
      </c>
      <c r="V277" s="20" t="n">
        <f aca="false">ROUND((R277-Q277)*24,4)</f>
        <v>10</v>
      </c>
      <c r="W277" s="20" t="n">
        <f aca="false">ROUND((R277-P277)*24,4)</f>
        <v>11</v>
      </c>
      <c r="X277" s="18" t="str">
        <f aca="false">TEXT(P277,"dddd")</f>
        <v>Saturday</v>
      </c>
      <c r="Y277" s="18" t="n">
        <f aca="false">HOUR(Q277)</f>
        <v>7</v>
      </c>
    </row>
    <row r="278" customFormat="false" ht="15" hidden="false" customHeight="false" outlineLevel="0" collapsed="false">
      <c r="A278" s="18" t="s">
        <v>37</v>
      </c>
      <c r="B278" s="18" t="s">
        <v>208</v>
      </c>
      <c r="C278" s="18" t="s">
        <v>209</v>
      </c>
      <c r="D278" s="18" t="s">
        <v>46</v>
      </c>
      <c r="E278" s="18" t="s">
        <v>176</v>
      </c>
      <c r="F278" s="18" t="n">
        <v>2603</v>
      </c>
      <c r="G278" s="18" t="s">
        <v>125</v>
      </c>
      <c r="H278" s="18" t="s">
        <v>280</v>
      </c>
      <c r="I278" s="18" t="s">
        <v>19</v>
      </c>
      <c r="J278" s="18" t="s">
        <v>12</v>
      </c>
      <c r="K278" s="18" t="s">
        <v>13</v>
      </c>
      <c r="L278" s="18" t="s">
        <v>125</v>
      </c>
      <c r="M278" s="18" t="s">
        <v>125</v>
      </c>
      <c r="N278" s="18" t="s">
        <v>125</v>
      </c>
      <c r="O278" s="18"/>
      <c r="P278" s="19" t="n">
        <v>46123.8125</v>
      </c>
      <c r="Q278" s="19" t="n">
        <v>46124.2916666667</v>
      </c>
      <c r="R278" s="19" t="n">
        <v>46125.9583333333</v>
      </c>
      <c r="S278" s="20" t="n">
        <f aca="false">ROUND((Q278-P278)*24,4)</f>
        <v>11.5</v>
      </c>
      <c r="T278" s="18" t="str">
        <f aca="false">TEXT(P278,"YYYY-MM")</f>
        <v>2026-04</v>
      </c>
      <c r="U278" s="18" t="n">
        <f aca="false">RANK(S278,$S$2:$S$670)+COUNTIF($S$2:S278,S278)-1</f>
        <v>121</v>
      </c>
      <c r="V278" s="20" t="n">
        <f aca="false">ROUND((R278-Q278)*24,4)</f>
        <v>40</v>
      </c>
      <c r="W278" s="20" t="n">
        <f aca="false">ROUND((R278-P278)*24,4)</f>
        <v>51.5</v>
      </c>
      <c r="X278" s="18" t="str">
        <f aca="false">TEXT(P278,"dddd")</f>
        <v>Saturday</v>
      </c>
      <c r="Y278" s="18" t="n">
        <f aca="false">HOUR(Q278)</f>
        <v>7</v>
      </c>
    </row>
    <row r="279" customFormat="false" ht="15" hidden="false" customHeight="false" outlineLevel="0" collapsed="false">
      <c r="A279" s="18" t="s">
        <v>31</v>
      </c>
      <c r="B279" s="18" t="s">
        <v>196</v>
      </c>
      <c r="C279" s="18" t="s">
        <v>197</v>
      </c>
      <c r="D279" s="18" t="s">
        <v>46</v>
      </c>
      <c r="E279" s="18" t="s">
        <v>198</v>
      </c>
      <c r="F279" s="18" t="n">
        <v>2603</v>
      </c>
      <c r="G279" s="18" t="s">
        <v>127</v>
      </c>
      <c r="H279" s="18" t="s">
        <v>279</v>
      </c>
      <c r="I279" s="18" t="s">
        <v>24</v>
      </c>
      <c r="J279" s="18" t="s">
        <v>13</v>
      </c>
      <c r="K279" s="18" t="s">
        <v>12</v>
      </c>
      <c r="L279" s="18" t="s">
        <v>125</v>
      </c>
      <c r="M279" s="18" t="s">
        <v>125</v>
      </c>
      <c r="N279" s="18" t="s">
        <v>125</v>
      </c>
      <c r="O279" s="18"/>
      <c r="P279" s="19" t="n">
        <v>46123.9166666667</v>
      </c>
      <c r="Q279" s="19" t="n">
        <v>46123.9583333333</v>
      </c>
      <c r="R279" s="19" t="n">
        <v>46124.3333333333</v>
      </c>
      <c r="S279" s="20" t="n">
        <f aca="false">ROUND((Q279-P279)*24,4)</f>
        <v>1</v>
      </c>
      <c r="T279" s="18" t="str">
        <f aca="false">TEXT(P279,"YYYY-MM")</f>
        <v>2026-04</v>
      </c>
      <c r="U279" s="18" t="n">
        <f aca="false">RANK(S279,$S$2:$S$670)+COUNTIF($S$2:S279,S279)-1</f>
        <v>449</v>
      </c>
      <c r="V279" s="20" t="n">
        <f aca="false">ROUND((R279-Q279)*24,4)</f>
        <v>9</v>
      </c>
      <c r="W279" s="20" t="n">
        <f aca="false">ROUND((R279-P279)*24,4)</f>
        <v>10</v>
      </c>
      <c r="X279" s="18" t="str">
        <f aca="false">TEXT(P279,"dddd")</f>
        <v>Saturday</v>
      </c>
      <c r="Y279" s="18" t="n">
        <f aca="false">HOUR(Q279)</f>
        <v>23</v>
      </c>
    </row>
    <row r="280" customFormat="false" ht="15" hidden="false" customHeight="false" outlineLevel="0" collapsed="false">
      <c r="A280" s="18" t="s">
        <v>31</v>
      </c>
      <c r="B280" s="18" t="s">
        <v>196</v>
      </c>
      <c r="C280" s="18" t="s">
        <v>197</v>
      </c>
      <c r="D280" s="18" t="s">
        <v>46</v>
      </c>
      <c r="E280" s="18" t="s">
        <v>168</v>
      </c>
      <c r="F280" s="18" t="n">
        <v>2603</v>
      </c>
      <c r="G280" s="18" t="s">
        <v>125</v>
      </c>
      <c r="H280" s="18" t="s">
        <v>280</v>
      </c>
      <c r="I280" s="18" t="s">
        <v>18</v>
      </c>
      <c r="J280" s="18" t="s">
        <v>12</v>
      </c>
      <c r="K280" s="18" t="s">
        <v>13</v>
      </c>
      <c r="L280" s="18" t="s">
        <v>125</v>
      </c>
      <c r="M280" s="18" t="s">
        <v>125</v>
      </c>
      <c r="N280" s="18" t="s">
        <v>125</v>
      </c>
      <c r="O280" s="18"/>
      <c r="P280" s="19" t="n">
        <v>46124.4166666667</v>
      </c>
      <c r="Q280" s="19" t="n">
        <v>46125</v>
      </c>
      <c r="R280" s="19" t="n">
        <v>46125.9583333333</v>
      </c>
      <c r="S280" s="20" t="n">
        <f aca="false">ROUND((Q280-P280)*24,4)</f>
        <v>14</v>
      </c>
      <c r="T280" s="18" t="str">
        <f aca="false">TEXT(P280,"YYYY-MM")</f>
        <v>2026-04</v>
      </c>
      <c r="U280" s="18" t="n">
        <f aca="false">RANK(S280,$S$2:$S$670)+COUNTIF($S$2:S280,S280)-1</f>
        <v>94</v>
      </c>
      <c r="V280" s="20" t="n">
        <f aca="false">ROUND((R280-Q280)*24,4)</f>
        <v>23</v>
      </c>
      <c r="W280" s="20" t="n">
        <f aca="false">ROUND((R280-P280)*24,4)</f>
        <v>37</v>
      </c>
      <c r="X280" s="18" t="str">
        <f aca="false">TEXT(P280,"dddd")</f>
        <v>Sunday</v>
      </c>
      <c r="Y280" s="18" t="n">
        <f aca="false">HOUR(Q280)</f>
        <v>0</v>
      </c>
    </row>
    <row r="281" customFormat="false" ht="15" hidden="false" customHeight="false" outlineLevel="0" collapsed="false">
      <c r="A281" s="18" t="s">
        <v>34</v>
      </c>
      <c r="B281" s="18" t="s">
        <v>171</v>
      </c>
      <c r="C281" s="18" t="s">
        <v>172</v>
      </c>
      <c r="D281" s="18" t="s">
        <v>47</v>
      </c>
      <c r="E281" s="18" t="s">
        <v>163</v>
      </c>
      <c r="F281" s="18" t="n">
        <v>2604</v>
      </c>
      <c r="G281" s="18" t="s">
        <v>127</v>
      </c>
      <c r="H281" s="18" t="s">
        <v>293</v>
      </c>
      <c r="I281" s="18" t="s">
        <v>23</v>
      </c>
      <c r="J281" s="18" t="s">
        <v>13</v>
      </c>
      <c r="K281" s="18" t="s">
        <v>12</v>
      </c>
      <c r="L281" s="18" t="s">
        <v>125</v>
      </c>
      <c r="M281" s="18" t="s">
        <v>125</v>
      </c>
      <c r="N281" s="18" t="s">
        <v>125</v>
      </c>
      <c r="O281" s="18"/>
      <c r="P281" s="19" t="n">
        <v>46124.4166666667</v>
      </c>
      <c r="Q281" s="19" t="n">
        <v>46124.4583333333</v>
      </c>
      <c r="R281" s="19" t="n">
        <v>46124.7083333333</v>
      </c>
      <c r="S281" s="20" t="n">
        <f aca="false">ROUND((Q281-P281)*24,4)</f>
        <v>1</v>
      </c>
      <c r="T281" s="18" t="str">
        <f aca="false">TEXT(P281,"YYYY-MM")</f>
        <v>2026-04</v>
      </c>
      <c r="U281" s="18" t="n">
        <f aca="false">RANK(S281,$S$2:$S$670)+COUNTIF($S$2:S281,S281)-1</f>
        <v>450</v>
      </c>
      <c r="V281" s="20" t="n">
        <f aca="false">ROUND((R281-Q281)*24,4)</f>
        <v>6</v>
      </c>
      <c r="W281" s="20" t="n">
        <f aca="false">ROUND((R281-P281)*24,4)</f>
        <v>7</v>
      </c>
      <c r="X281" s="18" t="str">
        <f aca="false">TEXT(P281,"dddd")</f>
        <v>Sunday</v>
      </c>
      <c r="Y281" s="18" t="n">
        <f aca="false">HOUR(Q281)</f>
        <v>11</v>
      </c>
    </row>
    <row r="282" customFormat="false" ht="15" hidden="false" customHeight="false" outlineLevel="0" collapsed="false">
      <c r="A282" s="18" t="s">
        <v>34</v>
      </c>
      <c r="B282" s="18" t="s">
        <v>171</v>
      </c>
      <c r="C282" s="18" t="s">
        <v>172</v>
      </c>
      <c r="D282" s="18" t="s">
        <v>47</v>
      </c>
      <c r="E282" s="18" t="s">
        <v>176</v>
      </c>
      <c r="F282" s="18" t="n">
        <v>2604</v>
      </c>
      <c r="G282" s="18" t="s">
        <v>125</v>
      </c>
      <c r="H282" s="18" t="s">
        <v>294</v>
      </c>
      <c r="I282" s="18" t="s">
        <v>17</v>
      </c>
      <c r="J282" s="18" t="s">
        <v>12</v>
      </c>
      <c r="K282" s="18" t="s">
        <v>13</v>
      </c>
      <c r="L282" s="18" t="s">
        <v>125</v>
      </c>
      <c r="M282" s="18" t="s">
        <v>125</v>
      </c>
      <c r="N282" s="18" t="s">
        <v>125</v>
      </c>
      <c r="O282" s="18"/>
      <c r="P282" s="19" t="n">
        <v>46124.8611111111</v>
      </c>
      <c r="Q282" s="19" t="n">
        <v>46125.0208333333</v>
      </c>
      <c r="R282" s="19" t="n">
        <v>46126.0416666667</v>
      </c>
      <c r="S282" s="20" t="n">
        <f aca="false">ROUND((Q282-P282)*24,4)</f>
        <v>3.8333</v>
      </c>
      <c r="T282" s="18" t="str">
        <f aca="false">TEXT(P282,"YYYY-MM")</f>
        <v>2026-04</v>
      </c>
      <c r="U282" s="18" t="n">
        <f aca="false">RANK(S282,$S$2:$S$670)+COUNTIF($S$2:S282,S282)-1</f>
        <v>260</v>
      </c>
      <c r="V282" s="20" t="n">
        <f aca="false">ROUND((R282-Q282)*24,4)</f>
        <v>24.5</v>
      </c>
      <c r="W282" s="20" t="n">
        <f aca="false">ROUND((R282-P282)*24,4)</f>
        <v>28.3333</v>
      </c>
      <c r="X282" s="18" t="str">
        <f aca="false">TEXT(P282,"dddd")</f>
        <v>Sunday</v>
      </c>
      <c r="Y282" s="18" t="n">
        <f aca="false">HOUR(Q282)</f>
        <v>0</v>
      </c>
    </row>
    <row r="283" customFormat="false" ht="15" hidden="false" customHeight="false" outlineLevel="0" collapsed="false">
      <c r="A283" s="18" t="s">
        <v>32</v>
      </c>
      <c r="B283" s="18" t="s">
        <v>188</v>
      </c>
      <c r="C283" s="18" t="s">
        <v>189</v>
      </c>
      <c r="D283" s="18" t="s">
        <v>46</v>
      </c>
      <c r="E283" s="18" t="s">
        <v>168</v>
      </c>
      <c r="F283" s="18" t="n">
        <v>2604</v>
      </c>
      <c r="G283" s="18" t="s">
        <v>127</v>
      </c>
      <c r="H283" s="18" t="s">
        <v>293</v>
      </c>
      <c r="I283" s="18" t="s">
        <v>23</v>
      </c>
      <c r="J283" s="18" t="s">
        <v>13</v>
      </c>
      <c r="K283" s="18" t="s">
        <v>12</v>
      </c>
      <c r="L283" s="18" t="s">
        <v>125</v>
      </c>
      <c r="M283" s="18" t="s">
        <v>125</v>
      </c>
      <c r="N283" s="18" t="s">
        <v>125</v>
      </c>
      <c r="O283" s="18"/>
      <c r="P283" s="19" t="n">
        <v>46126.1215277778</v>
      </c>
      <c r="Q283" s="19" t="n">
        <v>46126.1458333333</v>
      </c>
      <c r="R283" s="19" t="n">
        <v>46126.5</v>
      </c>
      <c r="S283" s="20" t="n">
        <f aca="false">ROUND((Q283-P283)*24,4)</f>
        <v>0.5833</v>
      </c>
      <c r="T283" s="18" t="str">
        <f aca="false">TEXT(P283,"YYYY-MM")</f>
        <v>2026-04</v>
      </c>
      <c r="U283" s="18" t="n">
        <f aca="false">RANK(S283,$S$2:$S$670)+COUNTIF($S$2:S283,S283)-1</f>
        <v>600</v>
      </c>
      <c r="V283" s="20" t="n">
        <f aca="false">ROUND((R283-Q283)*24,4)</f>
        <v>8.5</v>
      </c>
      <c r="W283" s="20" t="n">
        <f aca="false">ROUND((R283-P283)*24,4)</f>
        <v>9.0833</v>
      </c>
      <c r="X283" s="18" t="str">
        <f aca="false">TEXT(P283,"dddd")</f>
        <v>Tuesday</v>
      </c>
      <c r="Y283" s="18" t="n">
        <f aca="false">HOUR(Q283)</f>
        <v>3</v>
      </c>
    </row>
    <row r="284" customFormat="false" ht="15" hidden="false" customHeight="false" outlineLevel="0" collapsed="false">
      <c r="A284" s="18" t="s">
        <v>31</v>
      </c>
      <c r="B284" s="18" t="s">
        <v>196</v>
      </c>
      <c r="C284" s="18" t="s">
        <v>197</v>
      </c>
      <c r="D284" s="18" t="s">
        <v>46</v>
      </c>
      <c r="E284" s="18" t="s">
        <v>163</v>
      </c>
      <c r="F284" s="18" t="n">
        <v>2603</v>
      </c>
      <c r="G284" s="18" t="s">
        <v>125</v>
      </c>
      <c r="H284" s="18" t="s">
        <v>280</v>
      </c>
      <c r="I284" s="18" t="s">
        <v>28</v>
      </c>
      <c r="J284" s="18" t="s">
        <v>13</v>
      </c>
      <c r="K284" s="18" t="s">
        <v>165</v>
      </c>
      <c r="L284" s="18" t="s">
        <v>125</v>
      </c>
      <c r="M284" s="18" t="s">
        <v>125</v>
      </c>
      <c r="N284" s="18" t="s">
        <v>125</v>
      </c>
      <c r="O284" s="18"/>
      <c r="P284" s="19" t="n">
        <v>46126.1666666667</v>
      </c>
      <c r="Q284" s="19" t="n">
        <v>46126.2083333333</v>
      </c>
      <c r="R284" s="19" t="n">
        <v>46126.5416666667</v>
      </c>
      <c r="S284" s="20" t="n">
        <f aca="false">ROUND((Q284-P284)*24,4)</f>
        <v>1</v>
      </c>
      <c r="T284" s="18" t="str">
        <f aca="false">TEXT(P284,"YYYY-MM")</f>
        <v>2026-04</v>
      </c>
      <c r="U284" s="18" t="n">
        <f aca="false">RANK(S284,$S$2:$S$670)+COUNTIF($S$2:S284,S284)-1</f>
        <v>451</v>
      </c>
      <c r="V284" s="20" t="n">
        <f aca="false">ROUND((R284-Q284)*24,4)</f>
        <v>8</v>
      </c>
      <c r="W284" s="20" t="n">
        <f aca="false">ROUND((R284-P284)*24,4)</f>
        <v>9</v>
      </c>
      <c r="X284" s="18" t="str">
        <f aca="false">TEXT(P284,"dddd")</f>
        <v>Tuesday</v>
      </c>
      <c r="Y284" s="18" t="n">
        <f aca="false">HOUR(Q284)</f>
        <v>5</v>
      </c>
    </row>
    <row r="285" customFormat="false" ht="15" hidden="false" customHeight="false" outlineLevel="0" collapsed="false">
      <c r="A285" s="18" t="s">
        <v>37</v>
      </c>
      <c r="B285" s="18" t="s">
        <v>208</v>
      </c>
      <c r="C285" s="18" t="s">
        <v>209</v>
      </c>
      <c r="D285" s="18" t="s">
        <v>46</v>
      </c>
      <c r="E285" s="18" t="s">
        <v>185</v>
      </c>
      <c r="F285" s="18" t="n">
        <v>2603</v>
      </c>
      <c r="G285" s="18" t="s">
        <v>125</v>
      </c>
      <c r="H285" s="18" t="s">
        <v>280</v>
      </c>
      <c r="I285" s="18" t="s">
        <v>20</v>
      </c>
      <c r="J285" s="18" t="s">
        <v>13</v>
      </c>
      <c r="K285" s="18" t="s">
        <v>165</v>
      </c>
      <c r="L285" s="18" t="s">
        <v>125</v>
      </c>
      <c r="M285" s="18" t="s">
        <v>125</v>
      </c>
      <c r="N285" s="18" t="s">
        <v>125</v>
      </c>
      <c r="O285" s="18"/>
      <c r="P285" s="19" t="n">
        <v>46126.2083333333</v>
      </c>
      <c r="Q285" s="19" t="n">
        <v>46126.25</v>
      </c>
      <c r="R285" s="19" t="n">
        <v>46126.7916666667</v>
      </c>
      <c r="S285" s="20" t="n">
        <f aca="false">ROUND((Q285-P285)*24,4)</f>
        <v>1</v>
      </c>
      <c r="T285" s="18" t="str">
        <f aca="false">TEXT(P285,"YYYY-MM")</f>
        <v>2026-04</v>
      </c>
      <c r="U285" s="18" t="n">
        <f aca="false">RANK(S285,$S$2:$S$670)+COUNTIF($S$2:S285,S285)-1</f>
        <v>452</v>
      </c>
      <c r="V285" s="20" t="n">
        <f aca="false">ROUND((R285-Q285)*24,4)</f>
        <v>13</v>
      </c>
      <c r="W285" s="20" t="n">
        <f aca="false">ROUND((R285-P285)*24,4)</f>
        <v>14</v>
      </c>
      <c r="X285" s="18" t="str">
        <f aca="false">TEXT(P285,"dddd")</f>
        <v>Tuesday</v>
      </c>
      <c r="Y285" s="18" t="n">
        <f aca="false">HOUR(Q285)</f>
        <v>6</v>
      </c>
    </row>
    <row r="286" customFormat="false" ht="15" hidden="false" customHeight="false" outlineLevel="0" collapsed="false">
      <c r="A286" s="18" t="s">
        <v>34</v>
      </c>
      <c r="B286" s="18" t="s">
        <v>171</v>
      </c>
      <c r="C286" s="18" t="s">
        <v>172</v>
      </c>
      <c r="D286" s="18" t="s">
        <v>47</v>
      </c>
      <c r="E286" s="18" t="s">
        <v>185</v>
      </c>
      <c r="F286" s="18" t="n">
        <v>2604</v>
      </c>
      <c r="G286" s="18" t="s">
        <v>125</v>
      </c>
      <c r="H286" s="18" t="s">
        <v>294</v>
      </c>
      <c r="I286" s="18" t="s">
        <v>23</v>
      </c>
      <c r="J286" s="18" t="s">
        <v>13</v>
      </c>
      <c r="K286" s="18" t="s">
        <v>165</v>
      </c>
      <c r="L286" s="18" t="s">
        <v>125</v>
      </c>
      <c r="M286" s="18" t="s">
        <v>125</v>
      </c>
      <c r="N286" s="18" t="s">
        <v>125</v>
      </c>
      <c r="O286" s="18"/>
      <c r="P286" s="19" t="n">
        <v>46126.25</v>
      </c>
      <c r="Q286" s="19" t="n">
        <v>46126.4166666667</v>
      </c>
      <c r="R286" s="19" t="n">
        <v>46126.9583333333</v>
      </c>
      <c r="S286" s="20" t="n">
        <f aca="false">ROUND((Q286-P286)*24,4)</f>
        <v>4</v>
      </c>
      <c r="T286" s="18" t="str">
        <f aca="false">TEXT(P286,"YYYY-MM")</f>
        <v>2026-04</v>
      </c>
      <c r="U286" s="18" t="n">
        <f aca="false">RANK(S286,$S$2:$S$670)+COUNTIF($S$2:S286,S286)-1</f>
        <v>251</v>
      </c>
      <c r="V286" s="20" t="n">
        <f aca="false">ROUND((R286-Q286)*24,4)</f>
        <v>13</v>
      </c>
      <c r="W286" s="20" t="n">
        <f aca="false">ROUND((R286-P286)*24,4)</f>
        <v>17</v>
      </c>
      <c r="X286" s="18" t="str">
        <f aca="false">TEXT(P286,"dddd")</f>
        <v>Tuesday</v>
      </c>
      <c r="Y286" s="18" t="n">
        <f aca="false">HOUR(Q286)</f>
        <v>10</v>
      </c>
    </row>
    <row r="287" customFormat="false" ht="15" hidden="false" customHeight="false" outlineLevel="0" collapsed="false">
      <c r="A287" s="18" t="s">
        <v>32</v>
      </c>
      <c r="B287" s="18" t="s">
        <v>188</v>
      </c>
      <c r="C287" s="18" t="s">
        <v>189</v>
      </c>
      <c r="D287" s="18" t="s">
        <v>46</v>
      </c>
      <c r="E287" s="18" t="s">
        <v>163</v>
      </c>
      <c r="F287" s="18" t="n">
        <v>2604</v>
      </c>
      <c r="G287" s="18" t="s">
        <v>125</v>
      </c>
      <c r="H287" s="18" t="s">
        <v>294</v>
      </c>
      <c r="I287" s="18" t="s">
        <v>17</v>
      </c>
      <c r="J287" s="18" t="s">
        <v>12</v>
      </c>
      <c r="K287" s="18" t="s">
        <v>13</v>
      </c>
      <c r="L287" s="18" t="s">
        <v>125</v>
      </c>
      <c r="M287" s="18" t="s">
        <v>125</v>
      </c>
      <c r="N287" s="18" t="s">
        <v>125</v>
      </c>
      <c r="O287" s="18"/>
      <c r="P287" s="19" t="n">
        <v>46126.5833333333</v>
      </c>
      <c r="Q287" s="19" t="n">
        <v>46127.3333333333</v>
      </c>
      <c r="R287" s="19" t="n">
        <v>46128.5291666667</v>
      </c>
      <c r="S287" s="20" t="n">
        <f aca="false">ROUND((Q287-P287)*24,4)</f>
        <v>18</v>
      </c>
      <c r="T287" s="18" t="str">
        <f aca="false">TEXT(P287,"YYYY-MM")</f>
        <v>2026-04</v>
      </c>
      <c r="U287" s="18" t="n">
        <f aca="false">RANK(S287,$S$2:$S$670)+COUNTIF($S$2:S287,S287)-1</f>
        <v>61</v>
      </c>
      <c r="V287" s="20" t="n">
        <f aca="false">ROUND((R287-Q287)*24,4)</f>
        <v>28.7</v>
      </c>
      <c r="W287" s="20" t="n">
        <f aca="false">ROUND((R287-P287)*24,4)</f>
        <v>46.7</v>
      </c>
      <c r="X287" s="18" t="str">
        <f aca="false">TEXT(P287,"dddd")</f>
        <v>Tuesday</v>
      </c>
      <c r="Y287" s="18" t="n">
        <f aca="false">HOUR(Q287)</f>
        <v>8</v>
      </c>
    </row>
    <row r="288" customFormat="false" ht="15" hidden="false" customHeight="false" outlineLevel="0" collapsed="false">
      <c r="A288" s="18" t="s">
        <v>35</v>
      </c>
      <c r="B288" s="18" t="s">
        <v>166</v>
      </c>
      <c r="C288" s="18" t="s">
        <v>167</v>
      </c>
      <c r="D288" s="18" t="s">
        <v>47</v>
      </c>
      <c r="E288" s="18" t="s">
        <v>198</v>
      </c>
      <c r="F288" s="18" t="n">
        <v>2604</v>
      </c>
      <c r="G288" s="18" t="s">
        <v>127</v>
      </c>
      <c r="H288" s="18" t="s">
        <v>293</v>
      </c>
      <c r="I288" s="18" t="s">
        <v>24</v>
      </c>
      <c r="J288" s="18" t="s">
        <v>13</v>
      </c>
      <c r="K288" s="18" t="s">
        <v>12</v>
      </c>
      <c r="L288" s="18" t="s">
        <v>125</v>
      </c>
      <c r="M288" s="18" t="s">
        <v>125</v>
      </c>
      <c r="N288" s="18" t="s">
        <v>144</v>
      </c>
      <c r="O288" s="18"/>
      <c r="P288" s="19" t="n">
        <v>46127.375</v>
      </c>
      <c r="Q288" s="19" t="n">
        <v>46127.4166666667</v>
      </c>
      <c r="R288" s="19" t="n">
        <v>46127.8333333333</v>
      </c>
      <c r="S288" s="20" t="n">
        <f aca="false">ROUND((Q288-P288)*24,4)</f>
        <v>1</v>
      </c>
      <c r="T288" s="18" t="str">
        <f aca="false">TEXT(P288,"YYYY-MM")</f>
        <v>2026-04</v>
      </c>
      <c r="U288" s="18" t="n">
        <f aca="false">RANK(S288,$S$2:$S$670)+COUNTIF($S$2:S288,S288)-1</f>
        <v>453</v>
      </c>
      <c r="V288" s="20" t="n">
        <f aca="false">ROUND((R288-Q288)*24,4)</f>
        <v>10</v>
      </c>
      <c r="W288" s="20" t="n">
        <f aca="false">ROUND((R288-P288)*24,4)</f>
        <v>11</v>
      </c>
      <c r="X288" s="18" t="str">
        <f aca="false">TEXT(P288,"dddd")</f>
        <v>Wednesday</v>
      </c>
      <c r="Y288" s="18" t="n">
        <f aca="false">HOUR(Q288)</f>
        <v>10</v>
      </c>
    </row>
    <row r="289" customFormat="false" ht="15" hidden="false" customHeight="false" outlineLevel="0" collapsed="false">
      <c r="A289" s="18" t="s">
        <v>35</v>
      </c>
      <c r="B289" s="18" t="s">
        <v>166</v>
      </c>
      <c r="C289" s="18" t="s">
        <v>167</v>
      </c>
      <c r="D289" s="18" t="s">
        <v>47</v>
      </c>
      <c r="E289" s="18" t="s">
        <v>168</v>
      </c>
      <c r="F289" s="18" t="n">
        <v>2604</v>
      </c>
      <c r="G289" s="18" t="s">
        <v>125</v>
      </c>
      <c r="H289" s="18" t="s">
        <v>294</v>
      </c>
      <c r="I289" s="18" t="s">
        <v>19</v>
      </c>
      <c r="J289" s="18" t="s">
        <v>12</v>
      </c>
      <c r="K289" s="18" t="s">
        <v>13</v>
      </c>
      <c r="L289" s="18" t="s">
        <v>125</v>
      </c>
      <c r="M289" s="18" t="s">
        <v>125</v>
      </c>
      <c r="N289" s="18" t="s">
        <v>125</v>
      </c>
      <c r="O289" s="18"/>
      <c r="P289" s="19" t="n">
        <v>46127.9583333333</v>
      </c>
      <c r="Q289" s="19" t="n">
        <v>46128.25</v>
      </c>
      <c r="R289" s="19" t="n">
        <v>46129.5416666667</v>
      </c>
      <c r="S289" s="20" t="n">
        <f aca="false">ROUND((Q289-P289)*24,4)</f>
        <v>7</v>
      </c>
      <c r="T289" s="18" t="str">
        <f aca="false">TEXT(P289,"YYYY-MM")</f>
        <v>2026-04</v>
      </c>
      <c r="U289" s="18" t="n">
        <f aca="false">RANK(S289,$S$2:$S$670)+COUNTIF($S$2:S289,S289)-1</f>
        <v>188</v>
      </c>
      <c r="V289" s="20" t="n">
        <f aca="false">ROUND((R289-Q289)*24,4)</f>
        <v>31</v>
      </c>
      <c r="W289" s="20" t="n">
        <f aca="false">ROUND((R289-P289)*24,4)</f>
        <v>38</v>
      </c>
      <c r="X289" s="18" t="str">
        <f aca="false">TEXT(P289,"dddd")</f>
        <v>Wednesday</v>
      </c>
      <c r="Y289" s="18" t="n">
        <f aca="false">HOUR(Q289)</f>
        <v>6</v>
      </c>
    </row>
    <row r="290" customFormat="false" ht="15" hidden="false" customHeight="false" outlineLevel="0" collapsed="false">
      <c r="A290" s="18" t="s">
        <v>39</v>
      </c>
      <c r="B290" s="18" t="s">
        <v>257</v>
      </c>
      <c r="C290" s="18" t="s">
        <v>258</v>
      </c>
      <c r="D290" s="18" t="s">
        <v>46</v>
      </c>
      <c r="E290" s="18" t="s">
        <v>176</v>
      </c>
      <c r="F290" s="18" t="n">
        <v>2603</v>
      </c>
      <c r="G290" s="18" t="s">
        <v>125</v>
      </c>
      <c r="H290" s="18" t="s">
        <v>280</v>
      </c>
      <c r="I290" s="18" t="s">
        <v>21</v>
      </c>
      <c r="J290" s="18" t="s">
        <v>13</v>
      </c>
      <c r="K290" s="18" t="s">
        <v>216</v>
      </c>
      <c r="L290" s="18" t="s">
        <v>125</v>
      </c>
      <c r="M290" s="18" t="s">
        <v>125</v>
      </c>
      <c r="N290" s="18" t="s">
        <v>125</v>
      </c>
      <c r="O290" s="18"/>
      <c r="P290" s="19" t="n">
        <v>46128.0416666667</v>
      </c>
      <c r="Q290" s="19" t="n">
        <v>46128.0708333333</v>
      </c>
      <c r="R290" s="19" t="n">
        <v>46128.9625</v>
      </c>
      <c r="S290" s="20" t="n">
        <f aca="false">ROUND((Q290-P290)*24,4)</f>
        <v>0.7</v>
      </c>
      <c r="T290" s="18" t="str">
        <f aca="false">TEXT(P290,"YYYY-MM")</f>
        <v>2026-04</v>
      </c>
      <c r="U290" s="18" t="n">
        <f aca="false">RANK(S290,$S$2:$S$670)+COUNTIF($S$2:S290,S290)-1</f>
        <v>591</v>
      </c>
      <c r="V290" s="20" t="n">
        <f aca="false">ROUND((R290-Q290)*24,4)</f>
        <v>21.4</v>
      </c>
      <c r="W290" s="20" t="n">
        <f aca="false">ROUND((R290-P290)*24,4)</f>
        <v>22.1</v>
      </c>
      <c r="X290" s="18" t="str">
        <f aca="false">TEXT(P290,"dddd")</f>
        <v>Thursday</v>
      </c>
      <c r="Y290" s="18" t="n">
        <f aca="false">HOUR(Q290)</f>
        <v>1</v>
      </c>
    </row>
    <row r="291" customFormat="false" ht="15" hidden="false" customHeight="false" outlineLevel="0" collapsed="false">
      <c r="A291" s="18" t="s">
        <v>32</v>
      </c>
      <c r="B291" s="18" t="s">
        <v>188</v>
      </c>
      <c r="C291" s="18" t="s">
        <v>189</v>
      </c>
      <c r="D291" s="18" t="s">
        <v>46</v>
      </c>
      <c r="E291" s="18" t="s">
        <v>176</v>
      </c>
      <c r="F291" s="18" t="n">
        <v>2604</v>
      </c>
      <c r="G291" s="18" t="s">
        <v>125</v>
      </c>
      <c r="H291" s="18" t="s">
        <v>294</v>
      </c>
      <c r="I291" s="18" t="s">
        <v>23</v>
      </c>
      <c r="J291" s="18" t="s">
        <v>13</v>
      </c>
      <c r="K291" s="18" t="s">
        <v>186</v>
      </c>
      <c r="L291" s="18" t="s">
        <v>125</v>
      </c>
      <c r="M291" s="18" t="s">
        <v>125</v>
      </c>
      <c r="N291" s="18" t="s">
        <v>125</v>
      </c>
      <c r="O291" s="18"/>
      <c r="P291" s="19" t="n">
        <v>46128.7451388889</v>
      </c>
      <c r="Q291" s="19" t="n">
        <v>46128.7708333333</v>
      </c>
      <c r="R291" s="19" t="n">
        <v>46129.1291666667</v>
      </c>
      <c r="S291" s="20" t="n">
        <f aca="false">ROUND((Q291-P291)*24,4)</f>
        <v>0.6167</v>
      </c>
      <c r="T291" s="18" t="str">
        <f aca="false">TEXT(P291,"YYYY-MM")</f>
        <v>2026-04</v>
      </c>
      <c r="U291" s="18" t="n">
        <f aca="false">RANK(S291,$S$2:$S$670)+COUNTIF($S$2:S291,S291)-1</f>
        <v>595</v>
      </c>
      <c r="V291" s="20" t="n">
        <f aca="false">ROUND((R291-Q291)*24,4)</f>
        <v>8.6</v>
      </c>
      <c r="W291" s="20" t="n">
        <f aca="false">ROUND((R291-P291)*24,4)</f>
        <v>9.2167</v>
      </c>
      <c r="X291" s="18" t="str">
        <f aca="false">TEXT(P291,"dddd")</f>
        <v>Thursday</v>
      </c>
      <c r="Y291" s="18" t="n">
        <f aca="false">HOUR(Q291)</f>
        <v>18</v>
      </c>
    </row>
    <row r="292" customFormat="false" ht="15" hidden="false" customHeight="false" outlineLevel="0" collapsed="false">
      <c r="A292" s="18" t="s">
        <v>36</v>
      </c>
      <c r="B292" s="18" t="s">
        <v>267</v>
      </c>
      <c r="C292" s="18" t="s">
        <v>268</v>
      </c>
      <c r="D292" s="18" t="s">
        <v>46</v>
      </c>
      <c r="E292" s="18" t="s">
        <v>168</v>
      </c>
      <c r="F292" s="18" t="n">
        <v>2608</v>
      </c>
      <c r="G292" s="18" t="s">
        <v>127</v>
      </c>
      <c r="H292" s="18" t="s">
        <v>301</v>
      </c>
      <c r="I292" s="18" t="s">
        <v>23</v>
      </c>
      <c r="J292" s="18" t="s">
        <v>13</v>
      </c>
      <c r="K292" s="18" t="s">
        <v>12</v>
      </c>
      <c r="L292" s="18" t="s">
        <v>125</v>
      </c>
      <c r="M292" s="18" t="s">
        <v>125</v>
      </c>
      <c r="N292" s="18" t="s">
        <v>125</v>
      </c>
      <c r="O292" s="18"/>
      <c r="P292" s="19" t="n">
        <v>46129.0833333333</v>
      </c>
      <c r="Q292" s="19" t="n">
        <v>46129.125</v>
      </c>
      <c r="R292" s="19" t="n">
        <v>46129.5833333333</v>
      </c>
      <c r="S292" s="20" t="n">
        <f aca="false">ROUND((Q292-P292)*24,4)</f>
        <v>1</v>
      </c>
      <c r="T292" s="18" t="str">
        <f aca="false">TEXT(P292,"YYYY-MM")</f>
        <v>2026-04</v>
      </c>
      <c r="U292" s="18" t="n">
        <f aca="false">RANK(S292,$S$2:$S$670)+COUNTIF($S$2:S292,S292)-1</f>
        <v>454</v>
      </c>
      <c r="V292" s="20" t="n">
        <f aca="false">ROUND((R292-Q292)*24,4)</f>
        <v>11</v>
      </c>
      <c r="W292" s="20" t="n">
        <f aca="false">ROUND((R292-P292)*24,4)</f>
        <v>12</v>
      </c>
      <c r="X292" s="18" t="str">
        <f aca="false">TEXT(P292,"dddd")</f>
        <v>Friday</v>
      </c>
      <c r="Y292" s="18" t="n">
        <f aca="false">HOUR(Q292)</f>
        <v>3</v>
      </c>
    </row>
    <row r="293" customFormat="false" ht="15" hidden="false" customHeight="false" outlineLevel="0" collapsed="false">
      <c r="A293" s="18" t="s">
        <v>38</v>
      </c>
      <c r="B293" s="18" t="s">
        <v>178</v>
      </c>
      <c r="C293" s="18" t="s">
        <v>179</v>
      </c>
      <c r="D293" s="18" t="s">
        <v>49</v>
      </c>
      <c r="E293" s="18" t="s">
        <v>163</v>
      </c>
      <c r="F293" s="18" t="n">
        <v>2603</v>
      </c>
      <c r="G293" s="18" t="s">
        <v>127</v>
      </c>
      <c r="H293" s="18" t="s">
        <v>279</v>
      </c>
      <c r="I293" s="18" t="s">
        <v>23</v>
      </c>
      <c r="J293" s="18" t="s">
        <v>13</v>
      </c>
      <c r="K293" s="18" t="s">
        <v>181</v>
      </c>
      <c r="L293" s="18" t="s">
        <v>144</v>
      </c>
      <c r="M293" s="18" t="s">
        <v>125</v>
      </c>
      <c r="N293" s="18" t="s">
        <v>125</v>
      </c>
      <c r="O293" s="18"/>
      <c r="P293" s="19" t="n">
        <v>46129.2090277778</v>
      </c>
      <c r="Q293" s="19" t="n">
        <v>46129.2097222222</v>
      </c>
      <c r="R293" s="19" t="n">
        <v>46129.2104166667</v>
      </c>
      <c r="S293" s="20" t="n">
        <f aca="false">ROUND((Q293-P293)*24,4)</f>
        <v>0.0167</v>
      </c>
      <c r="T293" s="18" t="str">
        <f aca="false">TEXT(P293,"YYYY-MM")</f>
        <v>2026-04</v>
      </c>
      <c r="U293" s="18" t="n">
        <f aca="false">RANK(S293,$S$2:$S$670)+COUNTIF($S$2:S293,S293)-1</f>
        <v>638</v>
      </c>
      <c r="V293" s="20" t="n">
        <f aca="false">ROUND((R293-Q293)*24,4)</f>
        <v>0.0167</v>
      </c>
      <c r="W293" s="20" t="n">
        <f aca="false">ROUND((R293-P293)*24,4)</f>
        <v>0.0333</v>
      </c>
      <c r="X293" s="18" t="str">
        <f aca="false">TEXT(P293,"dddd")</f>
        <v>Friday</v>
      </c>
      <c r="Y293" s="18" t="n">
        <f aca="false">HOUR(Q293)</f>
        <v>5</v>
      </c>
    </row>
    <row r="294" customFormat="false" ht="15" hidden="false" customHeight="false" outlineLevel="0" collapsed="false">
      <c r="A294" s="18" t="s">
        <v>36</v>
      </c>
      <c r="B294" s="18" t="s">
        <v>267</v>
      </c>
      <c r="C294" s="18" t="s">
        <v>268</v>
      </c>
      <c r="D294" s="18" t="s">
        <v>46</v>
      </c>
      <c r="E294" s="18" t="s">
        <v>163</v>
      </c>
      <c r="F294" s="18" t="n">
        <v>2608</v>
      </c>
      <c r="G294" s="18" t="s">
        <v>125</v>
      </c>
      <c r="H294" s="18" t="s">
        <v>302</v>
      </c>
      <c r="I294" s="18" t="s">
        <v>17</v>
      </c>
      <c r="J294" s="18" t="s">
        <v>12</v>
      </c>
      <c r="K294" s="18" t="s">
        <v>13</v>
      </c>
      <c r="L294" s="18" t="s">
        <v>125</v>
      </c>
      <c r="M294" s="18" t="s">
        <v>125</v>
      </c>
      <c r="N294" s="18" t="s">
        <v>125</v>
      </c>
      <c r="O294" s="18"/>
      <c r="P294" s="19" t="n">
        <v>46129.7083333333</v>
      </c>
      <c r="Q294" s="19" t="n">
        <v>46130.2916666667</v>
      </c>
      <c r="R294" s="19" t="n">
        <v>46131.625</v>
      </c>
      <c r="S294" s="20" t="n">
        <f aca="false">ROUND((Q294-P294)*24,4)</f>
        <v>14</v>
      </c>
      <c r="T294" s="18" t="str">
        <f aca="false">TEXT(P294,"YYYY-MM")</f>
        <v>2026-04</v>
      </c>
      <c r="U294" s="18" t="n">
        <f aca="false">RANK(S294,$S$2:$S$670)+COUNTIF($S$2:S294,S294)-1</f>
        <v>95</v>
      </c>
      <c r="V294" s="20" t="n">
        <f aca="false">ROUND((R294-Q294)*24,4)</f>
        <v>32</v>
      </c>
      <c r="W294" s="20" t="n">
        <f aca="false">ROUND((R294-P294)*24,4)</f>
        <v>46</v>
      </c>
      <c r="X294" s="18" t="str">
        <f aca="false">TEXT(P294,"dddd")</f>
        <v>Friday</v>
      </c>
      <c r="Y294" s="18" t="n">
        <f aca="false">HOUR(Q294)</f>
        <v>7</v>
      </c>
    </row>
    <row r="295" customFormat="false" ht="15" hidden="false" customHeight="false" outlineLevel="0" collapsed="false">
      <c r="A295" s="18" t="s">
        <v>35</v>
      </c>
      <c r="B295" s="18" t="s">
        <v>166</v>
      </c>
      <c r="C295" s="18" t="s">
        <v>167</v>
      </c>
      <c r="D295" s="18" t="s">
        <v>47</v>
      </c>
      <c r="E295" s="18" t="s">
        <v>163</v>
      </c>
      <c r="F295" s="18" t="n">
        <v>2604</v>
      </c>
      <c r="G295" s="18" t="s">
        <v>125</v>
      </c>
      <c r="H295" s="18" t="s">
        <v>294</v>
      </c>
      <c r="I295" s="18" t="s">
        <v>24</v>
      </c>
      <c r="J295" s="18" t="s">
        <v>13</v>
      </c>
      <c r="K295" s="18" t="s">
        <v>186</v>
      </c>
      <c r="L295" s="18" t="s">
        <v>125</v>
      </c>
      <c r="M295" s="18" t="s">
        <v>144</v>
      </c>
      <c r="N295" s="18" t="s">
        <v>125</v>
      </c>
      <c r="O295" s="18"/>
      <c r="P295" s="19" t="n">
        <v>46129.75</v>
      </c>
      <c r="Q295" s="19" t="n">
        <v>46129.7916666667</v>
      </c>
      <c r="R295" s="19" t="n">
        <v>46130.1666666667</v>
      </c>
      <c r="S295" s="20" t="n">
        <f aca="false">ROUND((Q295-P295)*24,4)</f>
        <v>1</v>
      </c>
      <c r="T295" s="18" t="str">
        <f aca="false">TEXT(P295,"YYYY-MM")</f>
        <v>2026-04</v>
      </c>
      <c r="U295" s="18" t="n">
        <f aca="false">RANK(S295,$S$2:$S$670)+COUNTIF($S$2:S295,S295)-1</f>
        <v>455</v>
      </c>
      <c r="V295" s="20" t="n">
        <f aca="false">ROUND((R295-Q295)*24,4)</f>
        <v>9</v>
      </c>
      <c r="W295" s="20" t="n">
        <f aca="false">ROUND((R295-P295)*24,4)</f>
        <v>10</v>
      </c>
      <c r="X295" s="18" t="str">
        <f aca="false">TEXT(P295,"dddd")</f>
        <v>Friday</v>
      </c>
      <c r="Y295" s="18" t="n">
        <f aca="false">HOUR(Q295)</f>
        <v>19</v>
      </c>
    </row>
    <row r="296" customFormat="false" ht="15" hidden="false" customHeight="false" outlineLevel="0" collapsed="false">
      <c r="A296" s="18" t="s">
        <v>37</v>
      </c>
      <c r="B296" s="18" t="s">
        <v>242</v>
      </c>
      <c r="C296" s="18" t="s">
        <v>243</v>
      </c>
      <c r="D296" s="18" t="s">
        <v>46</v>
      </c>
      <c r="E296" s="18" t="s">
        <v>163</v>
      </c>
      <c r="F296" s="18" t="n">
        <v>2604</v>
      </c>
      <c r="G296" s="18" t="s">
        <v>127</v>
      </c>
      <c r="H296" s="18" t="s">
        <v>293</v>
      </c>
      <c r="I296" s="18" t="s">
        <v>20</v>
      </c>
      <c r="J296" s="18" t="s">
        <v>13</v>
      </c>
      <c r="K296" s="18" t="s">
        <v>12</v>
      </c>
      <c r="L296" s="18" t="s">
        <v>125</v>
      </c>
      <c r="M296" s="18" t="s">
        <v>125</v>
      </c>
      <c r="N296" s="18" t="s">
        <v>125</v>
      </c>
      <c r="O296" s="18"/>
      <c r="P296" s="19" t="n">
        <v>46131.125</v>
      </c>
      <c r="Q296" s="19" t="n">
        <v>46131.1666666667</v>
      </c>
      <c r="R296" s="19" t="n">
        <v>46131.5833333333</v>
      </c>
      <c r="S296" s="20" t="n">
        <f aca="false">ROUND((Q296-P296)*24,4)</f>
        <v>1</v>
      </c>
      <c r="T296" s="18" t="str">
        <f aca="false">TEXT(P296,"YYYY-MM")</f>
        <v>2026-04</v>
      </c>
      <c r="U296" s="18" t="n">
        <f aca="false">RANK(S296,$S$2:$S$670)+COUNTIF($S$2:S296,S296)-1</f>
        <v>456</v>
      </c>
      <c r="V296" s="20" t="n">
        <f aca="false">ROUND((R296-Q296)*24,4)</f>
        <v>10</v>
      </c>
      <c r="W296" s="20" t="n">
        <f aca="false">ROUND((R296-P296)*24,4)</f>
        <v>11</v>
      </c>
      <c r="X296" s="18" t="str">
        <f aca="false">TEXT(P296,"dddd")</f>
        <v>Sunday</v>
      </c>
      <c r="Y296" s="18" t="n">
        <f aca="false">HOUR(Q296)</f>
        <v>4</v>
      </c>
    </row>
    <row r="297" customFormat="false" ht="15" hidden="false" customHeight="false" outlineLevel="0" collapsed="false">
      <c r="A297" s="18" t="s">
        <v>37</v>
      </c>
      <c r="B297" s="18" t="s">
        <v>242</v>
      </c>
      <c r="C297" s="18" t="s">
        <v>243</v>
      </c>
      <c r="D297" s="18" t="s">
        <v>46</v>
      </c>
      <c r="E297" s="18" t="s">
        <v>176</v>
      </c>
      <c r="F297" s="18" t="n">
        <v>2604</v>
      </c>
      <c r="G297" s="18" t="s">
        <v>125</v>
      </c>
      <c r="H297" s="18" t="s">
        <v>294</v>
      </c>
      <c r="I297" s="18" t="s">
        <v>19</v>
      </c>
      <c r="J297" s="18" t="s">
        <v>12</v>
      </c>
      <c r="K297" s="18" t="s">
        <v>13</v>
      </c>
      <c r="L297" s="18" t="s">
        <v>125</v>
      </c>
      <c r="M297" s="18" t="s">
        <v>125</v>
      </c>
      <c r="N297" s="18" t="s">
        <v>125</v>
      </c>
      <c r="O297" s="18"/>
      <c r="P297" s="19" t="n">
        <v>46131.75</v>
      </c>
      <c r="Q297" s="19" t="n">
        <v>46131.875</v>
      </c>
      <c r="R297" s="19" t="n">
        <v>46133.75</v>
      </c>
      <c r="S297" s="20" t="n">
        <f aca="false">ROUND((Q297-P297)*24,4)</f>
        <v>3</v>
      </c>
      <c r="T297" s="18" t="str">
        <f aca="false">TEXT(P297,"YYYY-MM")</f>
        <v>2026-04</v>
      </c>
      <c r="U297" s="18" t="n">
        <f aca="false">RANK(S297,$S$2:$S$670)+COUNTIF($S$2:S297,S297)-1</f>
        <v>283</v>
      </c>
      <c r="V297" s="20" t="n">
        <f aca="false">ROUND((R297-Q297)*24,4)</f>
        <v>45</v>
      </c>
      <c r="W297" s="20" t="n">
        <f aca="false">ROUND((R297-P297)*24,4)</f>
        <v>48</v>
      </c>
      <c r="X297" s="18" t="str">
        <f aca="false">TEXT(P297,"dddd")</f>
        <v>Sunday</v>
      </c>
      <c r="Y297" s="18" t="n">
        <f aca="false">HOUR(Q297)</f>
        <v>21</v>
      </c>
    </row>
    <row r="298" customFormat="false" ht="15" hidden="false" customHeight="false" outlineLevel="0" collapsed="false">
      <c r="A298" s="18" t="s">
        <v>36</v>
      </c>
      <c r="B298" s="18" t="s">
        <v>267</v>
      </c>
      <c r="C298" s="18" t="s">
        <v>268</v>
      </c>
      <c r="D298" s="18" t="s">
        <v>46</v>
      </c>
      <c r="E298" s="18" t="s">
        <v>176</v>
      </c>
      <c r="F298" s="18" t="n">
        <v>2608</v>
      </c>
      <c r="G298" s="18" t="s">
        <v>125</v>
      </c>
      <c r="H298" s="18" t="s">
        <v>302</v>
      </c>
      <c r="I298" s="18" t="s">
        <v>23</v>
      </c>
      <c r="J298" s="18" t="s">
        <v>13</v>
      </c>
      <c r="K298" s="18" t="s">
        <v>303</v>
      </c>
      <c r="L298" s="18" t="s">
        <v>125</v>
      </c>
      <c r="M298" s="18" t="s">
        <v>125</v>
      </c>
      <c r="N298" s="18" t="s">
        <v>125</v>
      </c>
      <c r="O298" s="18"/>
      <c r="P298" s="19" t="n">
        <v>46131.8333333333</v>
      </c>
      <c r="Q298" s="19" t="n">
        <v>46131.875</v>
      </c>
      <c r="R298" s="19" t="n">
        <v>46132.1666666667</v>
      </c>
      <c r="S298" s="20" t="n">
        <f aca="false">ROUND((Q298-P298)*24,4)</f>
        <v>1</v>
      </c>
      <c r="T298" s="18" t="str">
        <f aca="false">TEXT(P298,"YYYY-MM")</f>
        <v>2026-04</v>
      </c>
      <c r="U298" s="18" t="n">
        <f aca="false">RANK(S298,$S$2:$S$670)+COUNTIF($S$2:S298,S298)-1</f>
        <v>457</v>
      </c>
      <c r="V298" s="20" t="n">
        <f aca="false">ROUND((R298-Q298)*24,4)</f>
        <v>7</v>
      </c>
      <c r="W298" s="20" t="n">
        <f aca="false">ROUND((R298-P298)*24,4)</f>
        <v>8</v>
      </c>
      <c r="X298" s="18" t="str">
        <f aca="false">TEXT(P298,"dddd")</f>
        <v>Sunday</v>
      </c>
      <c r="Y298" s="18" t="n">
        <f aca="false">HOUR(Q298)</f>
        <v>21</v>
      </c>
    </row>
    <row r="299" customFormat="false" ht="15" hidden="false" customHeight="false" outlineLevel="0" collapsed="false">
      <c r="A299" s="18" t="s">
        <v>33</v>
      </c>
      <c r="B299" s="18" t="s">
        <v>194</v>
      </c>
      <c r="C299" s="18" t="s">
        <v>195</v>
      </c>
      <c r="D299" s="18" t="s">
        <v>46</v>
      </c>
      <c r="E299" s="18" t="s">
        <v>163</v>
      </c>
      <c r="F299" s="18" t="n">
        <v>2604</v>
      </c>
      <c r="G299" s="18" t="s">
        <v>127</v>
      </c>
      <c r="H299" s="18" t="s">
        <v>293</v>
      </c>
      <c r="I299" s="18" t="s">
        <v>23</v>
      </c>
      <c r="J299" s="18" t="s">
        <v>13</v>
      </c>
      <c r="K299" s="18" t="s">
        <v>12</v>
      </c>
      <c r="L299" s="18" t="s">
        <v>125</v>
      </c>
      <c r="M299" s="18" t="s">
        <v>125</v>
      </c>
      <c r="N299" s="18" t="s">
        <v>144</v>
      </c>
      <c r="O299" s="18"/>
      <c r="P299" s="19" t="n">
        <v>46131.875</v>
      </c>
      <c r="Q299" s="19" t="n">
        <v>46131.9166666667</v>
      </c>
      <c r="R299" s="19" t="n">
        <v>46132.375</v>
      </c>
      <c r="S299" s="20" t="n">
        <f aca="false">ROUND((Q299-P299)*24,4)</f>
        <v>1</v>
      </c>
      <c r="T299" s="18" t="str">
        <f aca="false">TEXT(P299,"YYYY-MM")</f>
        <v>2026-04</v>
      </c>
      <c r="U299" s="18" t="n">
        <f aca="false">RANK(S299,$S$2:$S$670)+COUNTIF($S$2:S299,S299)-1</f>
        <v>458</v>
      </c>
      <c r="V299" s="20" t="n">
        <f aca="false">ROUND((R299-Q299)*24,4)</f>
        <v>11</v>
      </c>
      <c r="W299" s="20" t="n">
        <f aca="false">ROUND((R299-P299)*24,4)</f>
        <v>12</v>
      </c>
      <c r="X299" s="18" t="str">
        <f aca="false">TEXT(P299,"dddd")</f>
        <v>Sunday</v>
      </c>
      <c r="Y299" s="18" t="n">
        <f aca="false">HOUR(Q299)</f>
        <v>22</v>
      </c>
    </row>
    <row r="300" customFormat="false" ht="15" hidden="false" customHeight="false" outlineLevel="0" collapsed="false">
      <c r="A300" s="18" t="s">
        <v>33</v>
      </c>
      <c r="B300" s="18" t="s">
        <v>194</v>
      </c>
      <c r="C300" s="18" t="s">
        <v>195</v>
      </c>
      <c r="D300" s="18" t="s">
        <v>46</v>
      </c>
      <c r="E300" s="18" t="s">
        <v>176</v>
      </c>
      <c r="F300" s="18" t="n">
        <v>2604</v>
      </c>
      <c r="G300" s="18" t="s">
        <v>125</v>
      </c>
      <c r="H300" s="18" t="s">
        <v>294</v>
      </c>
      <c r="I300" s="18" t="s">
        <v>18</v>
      </c>
      <c r="J300" s="18" t="s">
        <v>12</v>
      </c>
      <c r="K300" s="18" t="s">
        <v>13</v>
      </c>
      <c r="L300" s="18" t="s">
        <v>125</v>
      </c>
      <c r="M300" s="18" t="s">
        <v>125</v>
      </c>
      <c r="N300" s="18" t="s">
        <v>125</v>
      </c>
      <c r="O300" s="18"/>
      <c r="P300" s="19" t="n">
        <v>46132.4583333333</v>
      </c>
      <c r="Q300" s="19" t="n">
        <v>46132.7916666667</v>
      </c>
      <c r="R300" s="19" t="n">
        <v>46133.75</v>
      </c>
      <c r="S300" s="20" t="n">
        <f aca="false">ROUND((Q300-P300)*24,4)</f>
        <v>8</v>
      </c>
      <c r="T300" s="18" t="str">
        <f aca="false">TEXT(P300,"YYYY-MM")</f>
        <v>2026-04</v>
      </c>
      <c r="U300" s="18" t="n">
        <f aca="false">RANK(S300,$S$2:$S$670)+COUNTIF($S$2:S300,S300)-1</f>
        <v>174</v>
      </c>
      <c r="V300" s="20" t="n">
        <f aca="false">ROUND((R300-Q300)*24,4)</f>
        <v>23</v>
      </c>
      <c r="W300" s="20" t="n">
        <f aca="false">ROUND((R300-P300)*24,4)</f>
        <v>31</v>
      </c>
      <c r="X300" s="18" t="str">
        <f aca="false">TEXT(P300,"dddd")</f>
        <v>Monday</v>
      </c>
      <c r="Y300" s="18" t="n">
        <f aca="false">HOUR(Q300)</f>
        <v>19</v>
      </c>
    </row>
    <row r="301" customFormat="false" ht="15" hidden="false" customHeight="false" outlineLevel="0" collapsed="false">
      <c r="A301" s="18" t="s">
        <v>32</v>
      </c>
      <c r="B301" s="18" t="s">
        <v>225</v>
      </c>
      <c r="C301" s="18" t="s">
        <v>226</v>
      </c>
      <c r="D301" s="18" t="s">
        <v>47</v>
      </c>
      <c r="E301" s="18" t="s">
        <v>168</v>
      </c>
      <c r="F301" s="18" t="n">
        <v>2605</v>
      </c>
      <c r="G301" s="18" t="s">
        <v>127</v>
      </c>
      <c r="H301" s="18" t="s">
        <v>304</v>
      </c>
      <c r="I301" s="18" t="s">
        <v>23</v>
      </c>
      <c r="J301" s="18" t="s">
        <v>13</v>
      </c>
      <c r="K301" s="18" t="s">
        <v>12</v>
      </c>
      <c r="L301" s="18" t="s">
        <v>125</v>
      </c>
      <c r="M301" s="18" t="s">
        <v>125</v>
      </c>
      <c r="N301" s="18" t="s">
        <v>125</v>
      </c>
      <c r="O301" s="18"/>
      <c r="P301" s="19" t="n">
        <v>46133.2513888889</v>
      </c>
      <c r="Q301" s="19" t="n">
        <v>46133.2833333333</v>
      </c>
      <c r="R301" s="19" t="n">
        <v>46133.5833333333</v>
      </c>
      <c r="S301" s="20" t="n">
        <f aca="false">ROUND((Q301-P301)*24,4)</f>
        <v>0.7667</v>
      </c>
      <c r="T301" s="18" t="str">
        <f aca="false">TEXT(P301,"YYYY-MM")</f>
        <v>2026-04</v>
      </c>
      <c r="U301" s="18" t="n">
        <f aca="false">RANK(S301,$S$2:$S$670)+COUNTIF($S$2:S301,S301)-1</f>
        <v>590</v>
      </c>
      <c r="V301" s="20" t="n">
        <f aca="false">ROUND((R301-Q301)*24,4)</f>
        <v>7.2</v>
      </c>
      <c r="W301" s="20" t="n">
        <f aca="false">ROUND((R301-P301)*24,4)</f>
        <v>7.9667</v>
      </c>
      <c r="X301" s="18" t="str">
        <f aca="false">TEXT(P301,"dddd")</f>
        <v>Tuesday</v>
      </c>
      <c r="Y301" s="18" t="n">
        <f aca="false">HOUR(Q301)</f>
        <v>6</v>
      </c>
    </row>
    <row r="302" customFormat="false" ht="15" hidden="false" customHeight="false" outlineLevel="0" collapsed="false">
      <c r="A302" s="18" t="s">
        <v>32</v>
      </c>
      <c r="B302" s="18" t="s">
        <v>225</v>
      </c>
      <c r="C302" s="18" t="s">
        <v>226</v>
      </c>
      <c r="D302" s="18" t="s">
        <v>47</v>
      </c>
      <c r="E302" s="18" t="s">
        <v>163</v>
      </c>
      <c r="F302" s="18" t="n">
        <v>2605</v>
      </c>
      <c r="G302" s="18" t="s">
        <v>125</v>
      </c>
      <c r="H302" s="18" t="s">
        <v>305</v>
      </c>
      <c r="I302" s="18" t="s">
        <v>17</v>
      </c>
      <c r="J302" s="18" t="s">
        <v>12</v>
      </c>
      <c r="K302" s="18" t="s">
        <v>13</v>
      </c>
      <c r="L302" s="18" t="s">
        <v>125</v>
      </c>
      <c r="M302" s="18" t="s">
        <v>125</v>
      </c>
      <c r="N302" s="18" t="s">
        <v>125</v>
      </c>
      <c r="O302" s="18"/>
      <c r="P302" s="19" t="n">
        <v>46133.6666666667</v>
      </c>
      <c r="Q302" s="19" t="n">
        <v>46133.8895833333</v>
      </c>
      <c r="R302" s="19" t="n">
        <v>46135.0041666667</v>
      </c>
      <c r="S302" s="20" t="n">
        <f aca="false">ROUND((Q302-P302)*24,4)</f>
        <v>5.35</v>
      </c>
      <c r="T302" s="18" t="str">
        <f aca="false">TEXT(P302,"YYYY-MM")</f>
        <v>2026-04</v>
      </c>
      <c r="U302" s="18" t="n">
        <f aca="false">RANK(S302,$S$2:$S$670)+COUNTIF($S$2:S302,S302)-1</f>
        <v>221</v>
      </c>
      <c r="V302" s="20" t="n">
        <f aca="false">ROUND((R302-Q302)*24,4)</f>
        <v>26.75</v>
      </c>
      <c r="W302" s="20" t="n">
        <f aca="false">ROUND((R302-P302)*24,4)</f>
        <v>32.1</v>
      </c>
      <c r="X302" s="18" t="str">
        <f aca="false">TEXT(P302,"dddd")</f>
        <v>Tuesday</v>
      </c>
      <c r="Y302" s="18" t="n">
        <f aca="false">HOUR(Q302)</f>
        <v>21</v>
      </c>
    </row>
    <row r="303" customFormat="false" ht="15" hidden="false" customHeight="false" outlineLevel="0" collapsed="false">
      <c r="A303" s="18" t="s">
        <v>33</v>
      </c>
      <c r="B303" s="18" t="s">
        <v>194</v>
      </c>
      <c r="C303" s="18" t="s">
        <v>195</v>
      </c>
      <c r="D303" s="18" t="s">
        <v>46</v>
      </c>
      <c r="E303" s="18" t="s">
        <v>185</v>
      </c>
      <c r="F303" s="18" t="n">
        <v>2604</v>
      </c>
      <c r="G303" s="18" t="s">
        <v>125</v>
      </c>
      <c r="H303" s="18" t="s">
        <v>294</v>
      </c>
      <c r="I303" s="18" t="s">
        <v>23</v>
      </c>
      <c r="J303" s="18" t="s">
        <v>13</v>
      </c>
      <c r="K303" s="18" t="s">
        <v>165</v>
      </c>
      <c r="L303" s="18" t="s">
        <v>125</v>
      </c>
      <c r="M303" s="18" t="s">
        <v>144</v>
      </c>
      <c r="N303" s="18" t="s">
        <v>125</v>
      </c>
      <c r="O303" s="18"/>
      <c r="P303" s="19" t="n">
        <v>46133.9166666667</v>
      </c>
      <c r="Q303" s="19" t="n">
        <v>46133.9583333333</v>
      </c>
      <c r="R303" s="19" t="n">
        <v>46134.2916666667</v>
      </c>
      <c r="S303" s="20" t="n">
        <f aca="false">ROUND((Q303-P303)*24,4)</f>
        <v>1</v>
      </c>
      <c r="T303" s="18" t="str">
        <f aca="false">TEXT(P303,"YYYY-MM")</f>
        <v>2026-04</v>
      </c>
      <c r="U303" s="18" t="n">
        <f aca="false">RANK(S303,$S$2:$S$670)+COUNTIF($S$2:S303,S303)-1</f>
        <v>459</v>
      </c>
      <c r="V303" s="20" t="n">
        <f aca="false">ROUND((R303-Q303)*24,4)</f>
        <v>8</v>
      </c>
      <c r="W303" s="20" t="n">
        <f aca="false">ROUND((R303-P303)*24,4)</f>
        <v>9</v>
      </c>
      <c r="X303" s="18" t="str">
        <f aca="false">TEXT(P303,"dddd")</f>
        <v>Tuesday</v>
      </c>
      <c r="Y303" s="18" t="n">
        <f aca="false">HOUR(Q303)</f>
        <v>23</v>
      </c>
    </row>
    <row r="304" customFormat="false" ht="15" hidden="false" customHeight="false" outlineLevel="0" collapsed="false">
      <c r="A304" s="18" t="s">
        <v>37</v>
      </c>
      <c r="B304" s="18" t="s">
        <v>242</v>
      </c>
      <c r="C304" s="18" t="s">
        <v>243</v>
      </c>
      <c r="D304" s="18" t="s">
        <v>46</v>
      </c>
      <c r="E304" s="18" t="s">
        <v>185</v>
      </c>
      <c r="F304" s="18" t="n">
        <v>2604</v>
      </c>
      <c r="G304" s="18" t="s">
        <v>125</v>
      </c>
      <c r="H304" s="18" t="s">
        <v>294</v>
      </c>
      <c r="I304" s="18" t="s">
        <v>20</v>
      </c>
      <c r="J304" s="18" t="s">
        <v>13</v>
      </c>
      <c r="K304" s="18" t="s">
        <v>165</v>
      </c>
      <c r="L304" s="18" t="s">
        <v>125</v>
      </c>
      <c r="M304" s="18" t="s">
        <v>125</v>
      </c>
      <c r="N304" s="18" t="s">
        <v>125</v>
      </c>
      <c r="O304" s="18"/>
      <c r="P304" s="19" t="n">
        <v>46133.9166666667</v>
      </c>
      <c r="Q304" s="19" t="n">
        <v>46133.9583333333</v>
      </c>
      <c r="R304" s="19" t="n">
        <v>46134.5416666667</v>
      </c>
      <c r="S304" s="20" t="n">
        <f aca="false">ROUND((Q304-P304)*24,4)</f>
        <v>1</v>
      </c>
      <c r="T304" s="18" t="str">
        <f aca="false">TEXT(P304,"YYYY-MM")</f>
        <v>2026-04</v>
      </c>
      <c r="U304" s="18" t="n">
        <f aca="false">RANK(S304,$S$2:$S$670)+COUNTIF($S$2:S304,S304)-1</f>
        <v>460</v>
      </c>
      <c r="V304" s="20" t="n">
        <f aca="false">ROUND((R304-Q304)*24,4)</f>
        <v>14</v>
      </c>
      <c r="W304" s="20" t="n">
        <f aca="false">ROUND((R304-P304)*24,4)</f>
        <v>15</v>
      </c>
      <c r="X304" s="18" t="str">
        <f aca="false">TEXT(P304,"dddd")</f>
        <v>Tuesday</v>
      </c>
      <c r="Y304" s="18" t="n">
        <f aca="false">HOUR(Q304)</f>
        <v>23</v>
      </c>
    </row>
    <row r="305" customFormat="false" ht="15" hidden="false" customHeight="false" outlineLevel="0" collapsed="false">
      <c r="A305" s="18" t="s">
        <v>36</v>
      </c>
      <c r="B305" s="18" t="s">
        <v>306</v>
      </c>
      <c r="C305" s="18" t="s">
        <v>307</v>
      </c>
      <c r="D305" s="18" t="s">
        <v>47</v>
      </c>
      <c r="E305" s="18" t="s">
        <v>168</v>
      </c>
      <c r="F305" s="18" t="n">
        <v>2605</v>
      </c>
      <c r="G305" s="18" t="s">
        <v>127</v>
      </c>
      <c r="H305" s="18" t="s">
        <v>304</v>
      </c>
      <c r="I305" s="18" t="s">
        <v>23</v>
      </c>
      <c r="J305" s="18" t="s">
        <v>13</v>
      </c>
      <c r="K305" s="18" t="s">
        <v>12</v>
      </c>
      <c r="L305" s="18" t="s">
        <v>125</v>
      </c>
      <c r="M305" s="18" t="s">
        <v>125</v>
      </c>
      <c r="N305" s="18" t="s">
        <v>125</v>
      </c>
      <c r="O305" s="18"/>
      <c r="P305" s="19" t="n">
        <v>46134.6666666667</v>
      </c>
      <c r="Q305" s="19" t="n">
        <v>46134.7083333333</v>
      </c>
      <c r="R305" s="19" t="n">
        <v>46134.9930555556</v>
      </c>
      <c r="S305" s="20" t="n">
        <f aca="false">ROUND((Q305-P305)*24,4)</f>
        <v>1</v>
      </c>
      <c r="T305" s="18" t="str">
        <f aca="false">TEXT(P305,"YYYY-MM")</f>
        <v>2026-04</v>
      </c>
      <c r="U305" s="18" t="n">
        <f aca="false">RANK(S305,$S$2:$S$670)+COUNTIF($S$2:S305,S305)-1</f>
        <v>461</v>
      </c>
      <c r="V305" s="20" t="n">
        <f aca="false">ROUND((R305-Q305)*24,4)</f>
        <v>6.8333</v>
      </c>
      <c r="W305" s="20" t="n">
        <f aca="false">ROUND((R305-P305)*24,4)</f>
        <v>7.8333</v>
      </c>
      <c r="X305" s="18" t="str">
        <f aca="false">TEXT(P305,"dddd")</f>
        <v>Wednesday</v>
      </c>
      <c r="Y305" s="18" t="n">
        <f aca="false">HOUR(Q305)</f>
        <v>17</v>
      </c>
    </row>
    <row r="306" customFormat="false" ht="15" hidden="false" customHeight="false" outlineLevel="0" collapsed="false">
      <c r="A306" s="18" t="s">
        <v>36</v>
      </c>
      <c r="B306" s="18" t="s">
        <v>306</v>
      </c>
      <c r="C306" s="18" t="s">
        <v>307</v>
      </c>
      <c r="D306" s="18" t="s">
        <v>47</v>
      </c>
      <c r="E306" s="18" t="s">
        <v>163</v>
      </c>
      <c r="F306" s="18" t="n">
        <v>2605</v>
      </c>
      <c r="G306" s="18" t="s">
        <v>125</v>
      </c>
      <c r="H306" s="18" t="s">
        <v>305</v>
      </c>
      <c r="I306" s="18" t="s">
        <v>17</v>
      </c>
      <c r="J306" s="18" t="s">
        <v>12</v>
      </c>
      <c r="K306" s="18" t="s">
        <v>13</v>
      </c>
      <c r="L306" s="18" t="s">
        <v>125</v>
      </c>
      <c r="M306" s="18" t="s">
        <v>125</v>
      </c>
      <c r="N306" s="18" t="s">
        <v>125</v>
      </c>
      <c r="O306" s="18"/>
      <c r="P306" s="19" t="n">
        <v>46135.0416666667</v>
      </c>
      <c r="Q306" s="19" t="n">
        <v>46135.3229166667</v>
      </c>
      <c r="R306" s="19" t="n">
        <v>46136.8333333333</v>
      </c>
      <c r="S306" s="20" t="n">
        <f aca="false">ROUND((Q306-P306)*24,4)</f>
        <v>6.75</v>
      </c>
      <c r="T306" s="18" t="str">
        <f aca="false">TEXT(P306,"YYYY-MM")</f>
        <v>2026-04</v>
      </c>
      <c r="U306" s="18" t="n">
        <f aca="false">RANK(S306,$S$2:$S$670)+COUNTIF($S$2:S306,S306)-1</f>
        <v>198</v>
      </c>
      <c r="V306" s="20" t="n">
        <f aca="false">ROUND((R306-Q306)*24,4)</f>
        <v>36.25</v>
      </c>
      <c r="W306" s="20" t="n">
        <f aca="false">ROUND((R306-P306)*24,4)</f>
        <v>43</v>
      </c>
      <c r="X306" s="18" t="str">
        <f aca="false">TEXT(P306,"dddd")</f>
        <v>Thursday</v>
      </c>
      <c r="Y306" s="18" t="n">
        <f aca="false">HOUR(Q306)</f>
        <v>7</v>
      </c>
    </row>
    <row r="307" customFormat="false" ht="15" hidden="false" customHeight="false" outlineLevel="0" collapsed="false">
      <c r="A307" s="18" t="s">
        <v>32</v>
      </c>
      <c r="B307" s="18" t="s">
        <v>225</v>
      </c>
      <c r="C307" s="18" t="s">
        <v>226</v>
      </c>
      <c r="D307" s="18" t="s">
        <v>47</v>
      </c>
      <c r="E307" s="18" t="s">
        <v>176</v>
      </c>
      <c r="F307" s="18" t="n">
        <v>2605</v>
      </c>
      <c r="G307" s="18" t="s">
        <v>125</v>
      </c>
      <c r="H307" s="18" t="s">
        <v>305</v>
      </c>
      <c r="I307" s="18" t="s">
        <v>23</v>
      </c>
      <c r="J307" s="18" t="s">
        <v>13</v>
      </c>
      <c r="K307" s="18" t="s">
        <v>186</v>
      </c>
      <c r="L307" s="18" t="s">
        <v>125</v>
      </c>
      <c r="M307" s="18" t="s">
        <v>125</v>
      </c>
      <c r="N307" s="18" t="s">
        <v>125</v>
      </c>
      <c r="O307" s="18"/>
      <c r="P307" s="19" t="n">
        <v>46135.2069444444</v>
      </c>
      <c r="Q307" s="19" t="n">
        <v>46135.2395833333</v>
      </c>
      <c r="R307" s="19" t="n">
        <v>46135.6291666667</v>
      </c>
      <c r="S307" s="20" t="n">
        <f aca="false">ROUND((Q307-P307)*24,4)</f>
        <v>0.7833</v>
      </c>
      <c r="T307" s="18" t="str">
        <f aca="false">TEXT(P307,"YYYY-MM")</f>
        <v>2026-04</v>
      </c>
      <c r="U307" s="18" t="n">
        <f aca="false">RANK(S307,$S$2:$S$670)+COUNTIF($S$2:S307,S307)-1</f>
        <v>589</v>
      </c>
      <c r="V307" s="20" t="n">
        <f aca="false">ROUND((R307-Q307)*24,4)</f>
        <v>9.35</v>
      </c>
      <c r="W307" s="20" t="n">
        <f aca="false">ROUND((R307-P307)*24,4)</f>
        <v>10.1333</v>
      </c>
      <c r="X307" s="18" t="str">
        <f aca="false">TEXT(P307,"dddd")</f>
        <v>Thursday</v>
      </c>
      <c r="Y307" s="18" t="n">
        <f aca="false">HOUR(Q307)</f>
        <v>5</v>
      </c>
    </row>
    <row r="308" customFormat="false" ht="15" hidden="false" customHeight="false" outlineLevel="0" collapsed="false">
      <c r="A308" s="18" t="s">
        <v>39</v>
      </c>
      <c r="B308" s="18" t="s">
        <v>287</v>
      </c>
      <c r="C308" s="18" t="s">
        <v>288</v>
      </c>
      <c r="D308" s="18" t="s">
        <v>46</v>
      </c>
      <c r="E308" s="18" t="s">
        <v>176</v>
      </c>
      <c r="F308" s="18" t="n">
        <v>2603</v>
      </c>
      <c r="G308" s="18" t="s">
        <v>125</v>
      </c>
      <c r="H308" s="18" t="s">
        <v>280</v>
      </c>
      <c r="I308" s="18" t="s">
        <v>21</v>
      </c>
      <c r="J308" s="18" t="s">
        <v>13</v>
      </c>
      <c r="K308" s="18" t="s">
        <v>216</v>
      </c>
      <c r="L308" s="18" t="s">
        <v>125</v>
      </c>
      <c r="M308" s="18" t="s">
        <v>125</v>
      </c>
      <c r="N308" s="18" t="s">
        <v>125</v>
      </c>
      <c r="O308" s="18"/>
      <c r="P308" s="19" t="n">
        <v>46136.625</v>
      </c>
      <c r="Q308" s="19" t="n">
        <v>46136.6375</v>
      </c>
      <c r="R308" s="19" t="n">
        <v>46137.5458333333</v>
      </c>
      <c r="S308" s="20" t="n">
        <f aca="false">ROUND((Q308-P308)*24,4)</f>
        <v>0.3</v>
      </c>
      <c r="T308" s="18" t="str">
        <f aca="false">TEXT(P308,"YYYY-MM")</f>
        <v>2026-04</v>
      </c>
      <c r="U308" s="18" t="n">
        <f aca="false">RANK(S308,$S$2:$S$670)+COUNTIF($S$2:S308,S308)-1</f>
        <v>620</v>
      </c>
      <c r="V308" s="20" t="n">
        <f aca="false">ROUND((R308-Q308)*24,4)</f>
        <v>21.8</v>
      </c>
      <c r="W308" s="20" t="n">
        <f aca="false">ROUND((R308-P308)*24,4)</f>
        <v>22.1</v>
      </c>
      <c r="X308" s="18" t="str">
        <f aca="false">TEXT(P308,"dddd")</f>
        <v>Friday</v>
      </c>
      <c r="Y308" s="18" t="n">
        <f aca="false">HOUR(Q308)</f>
        <v>15</v>
      </c>
    </row>
    <row r="309" customFormat="false" ht="15" hidden="false" customHeight="false" outlineLevel="0" collapsed="false">
      <c r="A309" s="18" t="s">
        <v>36</v>
      </c>
      <c r="B309" s="18" t="s">
        <v>306</v>
      </c>
      <c r="C309" s="18" t="s">
        <v>307</v>
      </c>
      <c r="D309" s="18" t="s">
        <v>47</v>
      </c>
      <c r="E309" s="18" t="s">
        <v>176</v>
      </c>
      <c r="F309" s="18" t="n">
        <v>2605</v>
      </c>
      <c r="G309" s="18" t="s">
        <v>125</v>
      </c>
      <c r="H309" s="18" t="s">
        <v>305</v>
      </c>
      <c r="I309" s="18" t="s">
        <v>23</v>
      </c>
      <c r="J309" s="18" t="s">
        <v>13</v>
      </c>
      <c r="K309" s="18" t="s">
        <v>303</v>
      </c>
      <c r="L309" s="18" t="s">
        <v>125</v>
      </c>
      <c r="M309" s="18" t="s">
        <v>125</v>
      </c>
      <c r="N309" s="18" t="s">
        <v>125</v>
      </c>
      <c r="O309" s="18"/>
      <c r="P309" s="19" t="n">
        <v>46137.0416666667</v>
      </c>
      <c r="Q309" s="19" t="n">
        <v>46137.25</v>
      </c>
      <c r="R309" s="19" t="n">
        <v>46137.7083333333</v>
      </c>
      <c r="S309" s="20" t="n">
        <f aca="false">ROUND((Q309-P309)*24,4)</f>
        <v>5</v>
      </c>
      <c r="T309" s="18" t="str">
        <f aca="false">TEXT(P309,"YYYY-MM")</f>
        <v>2026-04</v>
      </c>
      <c r="U309" s="18" t="n">
        <f aca="false">RANK(S309,$S$2:$S$670)+COUNTIF($S$2:S309,S309)-1</f>
        <v>230</v>
      </c>
      <c r="V309" s="20" t="n">
        <f aca="false">ROUND((R309-Q309)*24,4)</f>
        <v>11</v>
      </c>
      <c r="W309" s="20" t="n">
        <f aca="false">ROUND((R309-P309)*24,4)</f>
        <v>16</v>
      </c>
      <c r="X309" s="18" t="str">
        <f aca="false">TEXT(P309,"dddd")</f>
        <v>Saturday</v>
      </c>
      <c r="Y309" s="18" t="n">
        <f aca="false">HOUR(Q309)</f>
        <v>6</v>
      </c>
    </row>
    <row r="310" customFormat="false" ht="15" hidden="false" customHeight="false" outlineLevel="0" collapsed="false">
      <c r="A310" s="18" t="s">
        <v>34</v>
      </c>
      <c r="B310" s="18" t="s">
        <v>233</v>
      </c>
      <c r="C310" s="18" t="s">
        <v>234</v>
      </c>
      <c r="D310" s="18" t="s">
        <v>46</v>
      </c>
      <c r="E310" s="18" t="s">
        <v>163</v>
      </c>
      <c r="F310" s="18" t="n">
        <v>2604</v>
      </c>
      <c r="G310" s="18" t="s">
        <v>127</v>
      </c>
      <c r="H310" s="18" t="s">
        <v>293</v>
      </c>
      <c r="I310" s="18" t="s">
        <v>23</v>
      </c>
      <c r="J310" s="18" t="s">
        <v>13</v>
      </c>
      <c r="K310" s="18" t="s">
        <v>12</v>
      </c>
      <c r="L310" s="18" t="s">
        <v>125</v>
      </c>
      <c r="M310" s="18" t="s">
        <v>125</v>
      </c>
      <c r="N310" s="18" t="s">
        <v>125</v>
      </c>
      <c r="O310" s="18"/>
      <c r="P310" s="19" t="n">
        <v>46137.3333333333</v>
      </c>
      <c r="Q310" s="19" t="n">
        <v>46137.4375</v>
      </c>
      <c r="R310" s="19" t="n">
        <v>46137.8333333333</v>
      </c>
      <c r="S310" s="20" t="n">
        <f aca="false">ROUND((Q310-P310)*24,4)</f>
        <v>2.5</v>
      </c>
      <c r="T310" s="18" t="str">
        <f aca="false">TEXT(P310,"YYYY-MM")</f>
        <v>2026-04</v>
      </c>
      <c r="U310" s="18" t="n">
        <f aca="false">RANK(S310,$S$2:$S$670)+COUNTIF($S$2:S310,S310)-1</f>
        <v>311</v>
      </c>
      <c r="V310" s="20" t="n">
        <f aca="false">ROUND((R310-Q310)*24,4)</f>
        <v>9.5</v>
      </c>
      <c r="W310" s="20" t="n">
        <f aca="false">ROUND((R310-P310)*24,4)</f>
        <v>12</v>
      </c>
      <c r="X310" s="18" t="str">
        <f aca="false">TEXT(P310,"dddd")</f>
        <v>Saturday</v>
      </c>
      <c r="Y310" s="18" t="n">
        <f aca="false">HOUR(Q310)</f>
        <v>10</v>
      </c>
    </row>
    <row r="311" customFormat="false" ht="15" hidden="false" customHeight="false" outlineLevel="0" collapsed="false">
      <c r="A311" s="18" t="s">
        <v>34</v>
      </c>
      <c r="B311" s="18" t="s">
        <v>233</v>
      </c>
      <c r="C311" s="18" t="s">
        <v>234</v>
      </c>
      <c r="D311" s="18" t="s">
        <v>46</v>
      </c>
      <c r="E311" s="18" t="s">
        <v>176</v>
      </c>
      <c r="F311" s="18" t="n">
        <v>2604</v>
      </c>
      <c r="G311" s="18" t="s">
        <v>125</v>
      </c>
      <c r="H311" s="18" t="s">
        <v>294</v>
      </c>
      <c r="I311" s="18" t="s">
        <v>17</v>
      </c>
      <c r="J311" s="18" t="s">
        <v>12</v>
      </c>
      <c r="K311" s="18" t="s">
        <v>13</v>
      </c>
      <c r="L311" s="18" t="s">
        <v>125</v>
      </c>
      <c r="M311" s="18" t="s">
        <v>125</v>
      </c>
      <c r="N311" s="18" t="s">
        <v>125</v>
      </c>
      <c r="O311" s="18"/>
      <c r="P311" s="19" t="n">
        <v>46137.9166666667</v>
      </c>
      <c r="Q311" s="19" t="n">
        <v>46138.1125</v>
      </c>
      <c r="R311" s="19" t="n">
        <v>46139.9930555556</v>
      </c>
      <c r="S311" s="20" t="n">
        <f aca="false">ROUND((Q311-P311)*24,4)</f>
        <v>4.7</v>
      </c>
      <c r="T311" s="18" t="str">
        <f aca="false">TEXT(P311,"YYYY-MM")</f>
        <v>2026-04</v>
      </c>
      <c r="U311" s="18" t="n">
        <f aca="false">RANK(S311,$S$2:$S$670)+COUNTIF($S$2:S311,S311)-1</f>
        <v>242</v>
      </c>
      <c r="V311" s="20" t="n">
        <f aca="false">ROUND((R311-Q311)*24,4)</f>
        <v>45.1333</v>
      </c>
      <c r="W311" s="20" t="n">
        <f aca="false">ROUND((R311-P311)*24,4)</f>
        <v>49.8333</v>
      </c>
      <c r="X311" s="18" t="str">
        <f aca="false">TEXT(P311,"dddd")</f>
        <v>Saturday</v>
      </c>
      <c r="Y311" s="18" t="n">
        <f aca="false">HOUR(Q311)</f>
        <v>2</v>
      </c>
    </row>
    <row r="312" customFormat="false" ht="15" hidden="false" customHeight="false" outlineLevel="0" collapsed="false">
      <c r="A312" s="18" t="s">
        <v>38</v>
      </c>
      <c r="B312" s="18" t="s">
        <v>211</v>
      </c>
      <c r="C312" s="18" t="s">
        <v>212</v>
      </c>
      <c r="D312" s="18" t="s">
        <v>47</v>
      </c>
      <c r="E312" s="18" t="s">
        <v>163</v>
      </c>
      <c r="F312" s="18" t="n">
        <v>2603</v>
      </c>
      <c r="G312" s="18" t="s">
        <v>127</v>
      </c>
      <c r="H312" s="18" t="s">
        <v>279</v>
      </c>
      <c r="I312" s="18" t="s">
        <v>23</v>
      </c>
      <c r="J312" s="18" t="s">
        <v>13</v>
      </c>
      <c r="K312" s="18" t="s">
        <v>181</v>
      </c>
      <c r="L312" s="18" t="s">
        <v>125</v>
      </c>
      <c r="M312" s="18" t="s">
        <v>125</v>
      </c>
      <c r="N312" s="18" t="s">
        <v>125</v>
      </c>
      <c r="O312" s="18"/>
      <c r="P312" s="19" t="n">
        <v>46138.1875</v>
      </c>
      <c r="Q312" s="19" t="n">
        <v>46138.2791666667</v>
      </c>
      <c r="R312" s="19" t="n">
        <v>46139.35</v>
      </c>
      <c r="S312" s="20" t="n">
        <f aca="false">ROUND((Q312-P312)*24,4)</f>
        <v>2.2</v>
      </c>
      <c r="T312" s="18" t="str">
        <f aca="false">TEXT(P312,"YYYY-MM")</f>
        <v>2026-04</v>
      </c>
      <c r="U312" s="18" t="n">
        <f aca="false">RANK(S312,$S$2:$S$670)+COUNTIF($S$2:S312,S312)-1</f>
        <v>314</v>
      </c>
      <c r="V312" s="20" t="n">
        <f aca="false">ROUND((R312-Q312)*24,4)</f>
        <v>25.7</v>
      </c>
      <c r="W312" s="20" t="n">
        <f aca="false">ROUND((R312-P312)*24,4)</f>
        <v>27.9</v>
      </c>
      <c r="X312" s="18" t="str">
        <f aca="false">TEXT(P312,"dddd")</f>
        <v>Sunday</v>
      </c>
      <c r="Y312" s="18" t="n">
        <f aca="false">HOUR(Q312)</f>
        <v>6</v>
      </c>
    </row>
    <row r="313" customFormat="false" ht="15" hidden="false" customHeight="false" outlineLevel="0" collapsed="false">
      <c r="A313" s="18" t="s">
        <v>37</v>
      </c>
      <c r="B313" s="18" t="s">
        <v>236</v>
      </c>
      <c r="C313" s="18" t="s">
        <v>237</v>
      </c>
      <c r="D313" s="18" t="s">
        <v>46</v>
      </c>
      <c r="E313" s="18" t="s">
        <v>163</v>
      </c>
      <c r="F313" s="18" t="n">
        <v>2603</v>
      </c>
      <c r="G313" s="18" t="s">
        <v>127</v>
      </c>
      <c r="H313" s="18" t="s">
        <v>279</v>
      </c>
      <c r="I313" s="18" t="s">
        <v>20</v>
      </c>
      <c r="J313" s="18" t="s">
        <v>13</v>
      </c>
      <c r="K313" s="18" t="s">
        <v>12</v>
      </c>
      <c r="L313" s="18" t="s">
        <v>125</v>
      </c>
      <c r="M313" s="18" t="s">
        <v>125</v>
      </c>
      <c r="N313" s="18" t="s">
        <v>125</v>
      </c>
      <c r="O313" s="18"/>
      <c r="P313" s="19" t="n">
        <v>46138.4166666667</v>
      </c>
      <c r="Q313" s="19" t="n">
        <v>46138.4583333333</v>
      </c>
      <c r="R313" s="19" t="n">
        <v>46139</v>
      </c>
      <c r="S313" s="20" t="n">
        <f aca="false">ROUND((Q313-P313)*24,4)</f>
        <v>1</v>
      </c>
      <c r="T313" s="18" t="str">
        <f aca="false">TEXT(P313,"YYYY-MM")</f>
        <v>2026-04</v>
      </c>
      <c r="U313" s="18" t="n">
        <f aca="false">RANK(S313,$S$2:$S$670)+COUNTIF($S$2:S313,S313)-1</f>
        <v>462</v>
      </c>
      <c r="V313" s="20" t="n">
        <f aca="false">ROUND((R313-Q313)*24,4)</f>
        <v>13</v>
      </c>
      <c r="W313" s="20" t="n">
        <f aca="false">ROUND((R313-P313)*24,4)</f>
        <v>14</v>
      </c>
      <c r="X313" s="18" t="str">
        <f aca="false">TEXT(P313,"dddd")</f>
        <v>Sunday</v>
      </c>
      <c r="Y313" s="18" t="n">
        <f aca="false">HOUR(Q313)</f>
        <v>11</v>
      </c>
    </row>
    <row r="314" customFormat="false" ht="15" hidden="false" customHeight="false" outlineLevel="0" collapsed="false">
      <c r="A314" s="18" t="s">
        <v>37</v>
      </c>
      <c r="B314" s="18" t="s">
        <v>236</v>
      </c>
      <c r="C314" s="18" t="s">
        <v>237</v>
      </c>
      <c r="D314" s="18" t="s">
        <v>46</v>
      </c>
      <c r="E314" s="18" t="s">
        <v>176</v>
      </c>
      <c r="F314" s="18" t="n">
        <v>2603</v>
      </c>
      <c r="G314" s="18" t="s">
        <v>125</v>
      </c>
      <c r="H314" s="18" t="s">
        <v>280</v>
      </c>
      <c r="I314" s="18" t="s">
        <v>19</v>
      </c>
      <c r="J314" s="18" t="s">
        <v>12</v>
      </c>
      <c r="K314" s="18" t="s">
        <v>13</v>
      </c>
      <c r="L314" s="18" t="s">
        <v>125</v>
      </c>
      <c r="M314" s="18" t="s">
        <v>125</v>
      </c>
      <c r="N314" s="18" t="s">
        <v>125</v>
      </c>
      <c r="O314" s="18"/>
      <c r="P314" s="19" t="n">
        <v>46139.0833333333</v>
      </c>
      <c r="Q314" s="19" t="n">
        <v>46139.2291666667</v>
      </c>
      <c r="R314" s="19" t="n">
        <v>46140.9791666667</v>
      </c>
      <c r="S314" s="20" t="n">
        <f aca="false">ROUND((Q314-P314)*24,4)</f>
        <v>3.5</v>
      </c>
      <c r="T314" s="18" t="str">
        <f aca="false">TEXT(P314,"YYYY-MM")</f>
        <v>2026-04</v>
      </c>
      <c r="U314" s="18" t="n">
        <f aca="false">RANK(S314,$S$2:$S$670)+COUNTIF($S$2:S314,S314)-1</f>
        <v>263</v>
      </c>
      <c r="V314" s="20" t="n">
        <f aca="false">ROUND((R314-Q314)*24,4)</f>
        <v>42</v>
      </c>
      <c r="W314" s="20" t="n">
        <f aca="false">ROUND((R314-P314)*24,4)</f>
        <v>45.5</v>
      </c>
      <c r="X314" s="18" t="str">
        <f aca="false">TEXT(P314,"dddd")</f>
        <v>Monday</v>
      </c>
      <c r="Y314" s="18" t="n">
        <f aca="false">HOUR(Q314)</f>
        <v>5</v>
      </c>
    </row>
    <row r="315" customFormat="false" ht="15" hidden="false" customHeight="false" outlineLevel="0" collapsed="false">
      <c r="A315" s="18" t="s">
        <v>34</v>
      </c>
      <c r="B315" s="18" t="s">
        <v>240</v>
      </c>
      <c r="C315" s="18" t="s">
        <v>241</v>
      </c>
      <c r="D315" s="18" t="s">
        <v>50</v>
      </c>
      <c r="E315" s="18" t="s">
        <v>163</v>
      </c>
      <c r="F315" s="18" t="n">
        <v>2605</v>
      </c>
      <c r="G315" s="18" t="s">
        <v>127</v>
      </c>
      <c r="H315" s="18" t="s">
        <v>304</v>
      </c>
      <c r="I315" s="18" t="s">
        <v>23</v>
      </c>
      <c r="J315" s="18" t="s">
        <v>13</v>
      </c>
      <c r="K315" s="18" t="s">
        <v>12</v>
      </c>
      <c r="L315" s="18" t="s">
        <v>125</v>
      </c>
      <c r="M315" s="18" t="s">
        <v>125</v>
      </c>
      <c r="N315" s="18" t="s">
        <v>125</v>
      </c>
      <c r="O315" s="18"/>
      <c r="P315" s="19" t="n">
        <v>46139.25</v>
      </c>
      <c r="Q315" s="19" t="n">
        <v>46139.3958333333</v>
      </c>
      <c r="R315" s="19" t="n">
        <v>46139.75</v>
      </c>
      <c r="S315" s="20" t="n">
        <f aca="false">ROUND((Q315-P315)*24,4)</f>
        <v>3.5</v>
      </c>
      <c r="T315" s="18" t="str">
        <f aca="false">TEXT(P315,"YYYY-MM")</f>
        <v>2026-04</v>
      </c>
      <c r="U315" s="18" t="n">
        <f aca="false">RANK(S315,$S$2:$S$670)+COUNTIF($S$2:S315,S315)-1</f>
        <v>264</v>
      </c>
      <c r="V315" s="20" t="n">
        <f aca="false">ROUND((R315-Q315)*24,4)</f>
        <v>8.5</v>
      </c>
      <c r="W315" s="20" t="n">
        <f aca="false">ROUND((R315-P315)*24,4)</f>
        <v>12</v>
      </c>
      <c r="X315" s="18" t="str">
        <f aca="false">TEXT(P315,"dddd")</f>
        <v>Monday</v>
      </c>
      <c r="Y315" s="18" t="n">
        <f aca="false">HOUR(Q315)</f>
        <v>9</v>
      </c>
    </row>
    <row r="316" customFormat="false" ht="15" hidden="false" customHeight="false" outlineLevel="0" collapsed="false">
      <c r="A316" s="18" t="s">
        <v>35</v>
      </c>
      <c r="B316" s="18" t="s">
        <v>199</v>
      </c>
      <c r="C316" s="18" t="s">
        <v>200</v>
      </c>
      <c r="D316" s="18" t="s">
        <v>46</v>
      </c>
      <c r="E316" s="18" t="s">
        <v>198</v>
      </c>
      <c r="F316" s="18" t="n">
        <v>2604</v>
      </c>
      <c r="G316" s="18" t="s">
        <v>127</v>
      </c>
      <c r="H316" s="18" t="s">
        <v>293</v>
      </c>
      <c r="I316" s="18" t="s">
        <v>20</v>
      </c>
      <c r="J316" s="18" t="s">
        <v>13</v>
      </c>
      <c r="K316" s="18" t="s">
        <v>12</v>
      </c>
      <c r="L316" s="18" t="s">
        <v>125</v>
      </c>
      <c r="M316" s="18" t="s">
        <v>125</v>
      </c>
      <c r="N316" s="18" t="s">
        <v>144</v>
      </c>
      <c r="O316" s="18"/>
      <c r="P316" s="19" t="n">
        <v>46139.625</v>
      </c>
      <c r="Q316" s="19" t="n">
        <v>46139.6666666667</v>
      </c>
      <c r="R316" s="19" t="n">
        <v>46140.0416666667</v>
      </c>
      <c r="S316" s="20" t="n">
        <f aca="false">ROUND((Q316-P316)*24,4)</f>
        <v>1</v>
      </c>
      <c r="T316" s="18" t="str">
        <f aca="false">TEXT(P316,"YYYY-MM")</f>
        <v>2026-04</v>
      </c>
      <c r="U316" s="18" t="n">
        <f aca="false">RANK(S316,$S$2:$S$670)+COUNTIF($S$2:S316,S316)-1</f>
        <v>463</v>
      </c>
      <c r="V316" s="20" t="n">
        <f aca="false">ROUND((R316-Q316)*24,4)</f>
        <v>9</v>
      </c>
      <c r="W316" s="20" t="n">
        <f aca="false">ROUND((R316-P316)*24,4)</f>
        <v>10</v>
      </c>
      <c r="X316" s="18" t="str">
        <f aca="false">TEXT(P316,"dddd")</f>
        <v>Monday</v>
      </c>
      <c r="Y316" s="18" t="n">
        <f aca="false">HOUR(Q316)</f>
        <v>16</v>
      </c>
    </row>
    <row r="317" customFormat="false" ht="15" hidden="false" customHeight="false" outlineLevel="0" collapsed="false">
      <c r="A317" s="18" t="s">
        <v>31</v>
      </c>
      <c r="B317" s="18" t="s">
        <v>291</v>
      </c>
      <c r="C317" s="18" t="s">
        <v>292</v>
      </c>
      <c r="D317" s="18" t="s">
        <v>53</v>
      </c>
      <c r="E317" s="18" t="s">
        <v>198</v>
      </c>
      <c r="F317" s="18" t="n">
        <v>2602</v>
      </c>
      <c r="G317" s="18" t="s">
        <v>127</v>
      </c>
      <c r="H317" s="18" t="s">
        <v>259</v>
      </c>
      <c r="I317" s="18" t="s">
        <v>24</v>
      </c>
      <c r="J317" s="18" t="s">
        <v>13</v>
      </c>
      <c r="K317" s="18" t="s">
        <v>12</v>
      </c>
      <c r="L317" s="18" t="s">
        <v>125</v>
      </c>
      <c r="M317" s="18" t="s">
        <v>125</v>
      </c>
      <c r="N317" s="18" t="s">
        <v>125</v>
      </c>
      <c r="O317" s="18" t="s">
        <v>308</v>
      </c>
      <c r="P317" s="19" t="n">
        <v>46139.6666666667</v>
      </c>
      <c r="Q317" s="19" t="n">
        <v>46139.7083333333</v>
      </c>
      <c r="R317" s="19" t="n">
        <v>46140</v>
      </c>
      <c r="S317" s="20" t="n">
        <f aca="false">ROUND((Q317-P317)*24,4)</f>
        <v>1</v>
      </c>
      <c r="T317" s="18" t="str">
        <f aca="false">TEXT(P317,"YYYY-MM")</f>
        <v>2026-04</v>
      </c>
      <c r="U317" s="18" t="n">
        <f aca="false">RANK(S317,$S$2:$S$670)+COUNTIF($S$2:S317,S317)-1</f>
        <v>464</v>
      </c>
      <c r="V317" s="20" t="n">
        <f aca="false">ROUND((R317-Q317)*24,4)</f>
        <v>7</v>
      </c>
      <c r="W317" s="20" t="n">
        <f aca="false">ROUND((R317-P317)*24,4)</f>
        <v>8</v>
      </c>
      <c r="X317" s="18" t="str">
        <f aca="false">TEXT(P317,"dddd")</f>
        <v>Monday</v>
      </c>
      <c r="Y317" s="18" t="n">
        <f aca="false">HOUR(Q317)</f>
        <v>17</v>
      </c>
    </row>
    <row r="318" customFormat="false" ht="15" hidden="false" customHeight="false" outlineLevel="0" collapsed="false">
      <c r="A318" s="18" t="s">
        <v>34</v>
      </c>
      <c r="B318" s="18" t="s">
        <v>240</v>
      </c>
      <c r="C318" s="18" t="s">
        <v>241</v>
      </c>
      <c r="D318" s="18" t="s">
        <v>50</v>
      </c>
      <c r="E318" s="18" t="s">
        <v>176</v>
      </c>
      <c r="F318" s="18" t="n">
        <v>2605</v>
      </c>
      <c r="G318" s="18" t="s">
        <v>125</v>
      </c>
      <c r="H318" s="18" t="s">
        <v>305</v>
      </c>
      <c r="I318" s="18" t="s">
        <v>17</v>
      </c>
      <c r="J318" s="18" t="s">
        <v>12</v>
      </c>
      <c r="K318" s="18" t="s">
        <v>13</v>
      </c>
      <c r="L318" s="18" t="s">
        <v>125</v>
      </c>
      <c r="M318" s="18" t="s">
        <v>125</v>
      </c>
      <c r="N318" s="18" t="s">
        <v>125</v>
      </c>
      <c r="O318" s="18"/>
      <c r="P318" s="19" t="n">
        <v>46139.8333333333</v>
      </c>
      <c r="Q318" s="19" t="n">
        <v>46140.2083333333</v>
      </c>
      <c r="R318" s="19" t="n">
        <v>46142.0416666667</v>
      </c>
      <c r="S318" s="20" t="n">
        <f aca="false">ROUND((Q318-P318)*24,4)</f>
        <v>9</v>
      </c>
      <c r="T318" s="18" t="str">
        <f aca="false">TEXT(P318,"YYYY-MM")</f>
        <v>2026-04</v>
      </c>
      <c r="U318" s="18" t="n">
        <f aca="false">RANK(S318,$S$2:$S$670)+COUNTIF($S$2:S318,S318)-1</f>
        <v>156</v>
      </c>
      <c r="V318" s="20" t="n">
        <f aca="false">ROUND((R318-Q318)*24,4)</f>
        <v>44</v>
      </c>
      <c r="W318" s="20" t="n">
        <f aca="false">ROUND((R318-P318)*24,4)</f>
        <v>53</v>
      </c>
      <c r="X318" s="18" t="str">
        <f aca="false">TEXT(P318,"dddd")</f>
        <v>Monday</v>
      </c>
      <c r="Y318" s="18" t="n">
        <f aca="false">HOUR(Q318)</f>
        <v>5</v>
      </c>
    </row>
    <row r="319" customFormat="false" ht="15" hidden="false" customHeight="false" outlineLevel="0" collapsed="false">
      <c r="A319" s="18" t="s">
        <v>31</v>
      </c>
      <c r="B319" s="18" t="s">
        <v>291</v>
      </c>
      <c r="C319" s="18" t="s">
        <v>292</v>
      </c>
      <c r="D319" s="18" t="s">
        <v>53</v>
      </c>
      <c r="E319" s="18" t="s">
        <v>168</v>
      </c>
      <c r="F319" s="18" t="n">
        <v>2602</v>
      </c>
      <c r="G319" s="18" t="s">
        <v>125</v>
      </c>
      <c r="H319" s="18" t="s">
        <v>260</v>
      </c>
      <c r="I319" s="18" t="s">
        <v>18</v>
      </c>
      <c r="J319" s="18" t="s">
        <v>12</v>
      </c>
      <c r="K319" s="18" t="s">
        <v>13</v>
      </c>
      <c r="L319" s="18" t="s">
        <v>125</v>
      </c>
      <c r="M319" s="18" t="s">
        <v>125</v>
      </c>
      <c r="N319" s="18" t="s">
        <v>125</v>
      </c>
      <c r="O319" s="18" t="s">
        <v>308</v>
      </c>
      <c r="P319" s="19" t="n">
        <v>46140.0833333333</v>
      </c>
      <c r="Q319" s="19" t="n">
        <v>46140.1666666667</v>
      </c>
      <c r="R319" s="19" t="n">
        <v>46141.0416666667</v>
      </c>
      <c r="S319" s="20" t="n">
        <f aca="false">ROUND((Q319-P319)*24,4)</f>
        <v>2</v>
      </c>
      <c r="T319" s="18" t="str">
        <f aca="false">TEXT(P319,"YYYY-MM")</f>
        <v>2026-04</v>
      </c>
      <c r="U319" s="18" t="n">
        <f aca="false">RANK(S319,$S$2:$S$670)+COUNTIF($S$2:S319,S319)-1</f>
        <v>329</v>
      </c>
      <c r="V319" s="20" t="n">
        <f aca="false">ROUND((R319-Q319)*24,4)</f>
        <v>21</v>
      </c>
      <c r="W319" s="20" t="n">
        <f aca="false">ROUND((R319-P319)*24,4)</f>
        <v>23</v>
      </c>
      <c r="X319" s="18" t="str">
        <f aca="false">TEXT(P319,"dddd")</f>
        <v>Tuesday</v>
      </c>
      <c r="Y319" s="18" t="n">
        <f aca="false">HOUR(Q319)</f>
        <v>4</v>
      </c>
    </row>
    <row r="320" customFormat="false" ht="15" hidden="false" customHeight="false" outlineLevel="0" collapsed="false">
      <c r="A320" s="18" t="s">
        <v>35</v>
      </c>
      <c r="B320" s="18" t="s">
        <v>199</v>
      </c>
      <c r="C320" s="18" t="s">
        <v>200</v>
      </c>
      <c r="D320" s="18" t="s">
        <v>46</v>
      </c>
      <c r="E320" s="18" t="s">
        <v>168</v>
      </c>
      <c r="F320" s="18" t="n">
        <v>2604</v>
      </c>
      <c r="G320" s="18" t="s">
        <v>125</v>
      </c>
      <c r="H320" s="18" t="s">
        <v>294</v>
      </c>
      <c r="I320" s="18" t="s">
        <v>19</v>
      </c>
      <c r="J320" s="18" t="s">
        <v>12</v>
      </c>
      <c r="K320" s="18" t="s">
        <v>13</v>
      </c>
      <c r="L320" s="18" t="s">
        <v>125</v>
      </c>
      <c r="M320" s="18" t="s">
        <v>125</v>
      </c>
      <c r="N320" s="18" t="s">
        <v>125</v>
      </c>
      <c r="O320" s="18"/>
      <c r="P320" s="19" t="n">
        <v>46140.125</v>
      </c>
      <c r="Q320" s="19" t="n">
        <v>46140.25</v>
      </c>
      <c r="R320" s="19" t="n">
        <v>46141.5833333333</v>
      </c>
      <c r="S320" s="20" t="n">
        <f aca="false">ROUND((Q320-P320)*24,4)</f>
        <v>3</v>
      </c>
      <c r="T320" s="18" t="str">
        <f aca="false">TEXT(P320,"YYYY-MM")</f>
        <v>2026-04</v>
      </c>
      <c r="U320" s="18" t="n">
        <f aca="false">RANK(S320,$S$2:$S$670)+COUNTIF($S$2:S320,S320)-1</f>
        <v>284</v>
      </c>
      <c r="V320" s="20" t="n">
        <f aca="false">ROUND((R320-Q320)*24,4)</f>
        <v>32</v>
      </c>
      <c r="W320" s="20" t="n">
        <f aca="false">ROUND((R320-P320)*24,4)</f>
        <v>35</v>
      </c>
      <c r="X320" s="18" t="str">
        <f aca="false">TEXT(P320,"dddd")</f>
        <v>Tuesday</v>
      </c>
      <c r="Y320" s="18" t="n">
        <f aca="false">HOUR(Q320)</f>
        <v>6</v>
      </c>
    </row>
    <row r="321" customFormat="false" ht="15" hidden="false" customHeight="false" outlineLevel="0" collapsed="false">
      <c r="A321" s="18" t="s">
        <v>34</v>
      </c>
      <c r="B321" s="18" t="s">
        <v>233</v>
      </c>
      <c r="C321" s="18" t="s">
        <v>234</v>
      </c>
      <c r="D321" s="18" t="s">
        <v>46</v>
      </c>
      <c r="E321" s="18" t="s">
        <v>185</v>
      </c>
      <c r="F321" s="18" t="n">
        <v>2604</v>
      </c>
      <c r="G321" s="18" t="s">
        <v>125</v>
      </c>
      <c r="H321" s="18" t="s">
        <v>294</v>
      </c>
      <c r="I321" s="18" t="s">
        <v>23</v>
      </c>
      <c r="J321" s="18" t="s">
        <v>13</v>
      </c>
      <c r="K321" s="18" t="s">
        <v>165</v>
      </c>
      <c r="L321" s="18" t="s">
        <v>125</v>
      </c>
      <c r="M321" s="18" t="s">
        <v>125</v>
      </c>
      <c r="N321" s="18" t="s">
        <v>125</v>
      </c>
      <c r="O321" s="18"/>
      <c r="P321" s="19" t="n">
        <v>46140.2083333333</v>
      </c>
      <c r="Q321" s="19" t="n">
        <v>46140.7291666667</v>
      </c>
      <c r="R321" s="19" t="n">
        <v>46141.0416666667</v>
      </c>
      <c r="S321" s="20" t="n">
        <f aca="false">ROUND((Q321-P321)*24,4)</f>
        <v>12.5</v>
      </c>
      <c r="T321" s="18" t="str">
        <f aca="false">TEXT(P321,"YYYY-MM")</f>
        <v>2026-04</v>
      </c>
      <c r="U321" s="18" t="n">
        <f aca="false">RANK(S321,$S$2:$S$670)+COUNTIF($S$2:S321,S321)-1</f>
        <v>114</v>
      </c>
      <c r="V321" s="20" t="n">
        <f aca="false">ROUND((R321-Q321)*24,4)</f>
        <v>7.5</v>
      </c>
      <c r="W321" s="20" t="n">
        <f aca="false">ROUND((R321-P321)*24,4)</f>
        <v>20</v>
      </c>
      <c r="X321" s="18" t="str">
        <f aca="false">TEXT(P321,"dddd")</f>
        <v>Tuesday</v>
      </c>
      <c r="Y321" s="18" t="n">
        <f aca="false">HOUR(Q321)</f>
        <v>17</v>
      </c>
    </row>
    <row r="322" customFormat="false" ht="15" hidden="false" customHeight="false" outlineLevel="0" collapsed="false">
      <c r="A322" s="18" t="s">
        <v>31</v>
      </c>
      <c r="B322" s="18" t="s">
        <v>291</v>
      </c>
      <c r="C322" s="18" t="s">
        <v>292</v>
      </c>
      <c r="D322" s="18" t="s">
        <v>53</v>
      </c>
      <c r="E322" s="18" t="s">
        <v>163</v>
      </c>
      <c r="F322" s="18" t="n">
        <v>2602</v>
      </c>
      <c r="G322" s="18" t="s">
        <v>125</v>
      </c>
      <c r="H322" s="18" t="s">
        <v>260</v>
      </c>
      <c r="I322" s="18" t="s">
        <v>24</v>
      </c>
      <c r="J322" s="18" t="s">
        <v>13</v>
      </c>
      <c r="K322" s="18" t="s">
        <v>165</v>
      </c>
      <c r="L322" s="18" t="s">
        <v>125</v>
      </c>
      <c r="M322" s="18" t="s">
        <v>125</v>
      </c>
      <c r="N322" s="18" t="s">
        <v>125</v>
      </c>
      <c r="O322" s="18" t="s">
        <v>308</v>
      </c>
      <c r="P322" s="19" t="n">
        <v>46141.2083333333</v>
      </c>
      <c r="Q322" s="19" t="n">
        <v>46142.0375</v>
      </c>
      <c r="R322" s="19" t="n">
        <v>46142.6291666667</v>
      </c>
      <c r="S322" s="20" t="n">
        <f aca="false">ROUND((Q322-P322)*24,4)</f>
        <v>19.9</v>
      </c>
      <c r="T322" s="18" t="str">
        <f aca="false">TEXT(P322,"YYYY-MM")</f>
        <v>2026-04</v>
      </c>
      <c r="U322" s="18" t="n">
        <f aca="false">RANK(S322,$S$2:$S$670)+COUNTIF($S$2:S322,S322)-1</f>
        <v>50</v>
      </c>
      <c r="V322" s="20" t="n">
        <f aca="false">ROUND((R322-Q322)*24,4)</f>
        <v>14.2</v>
      </c>
      <c r="W322" s="20" t="n">
        <f aca="false">ROUND((R322-P322)*24,4)</f>
        <v>34.1</v>
      </c>
      <c r="X322" s="18" t="str">
        <f aca="false">TEXT(P322,"dddd")</f>
        <v>Wednesday</v>
      </c>
      <c r="Y322" s="18" t="n">
        <f aca="false">HOUR(Q322)</f>
        <v>0</v>
      </c>
    </row>
    <row r="323" customFormat="false" ht="15" hidden="false" customHeight="false" outlineLevel="0" collapsed="false">
      <c r="A323" s="18" t="s">
        <v>37</v>
      </c>
      <c r="B323" s="18" t="s">
        <v>236</v>
      </c>
      <c r="C323" s="18" t="s">
        <v>237</v>
      </c>
      <c r="D323" s="18" t="s">
        <v>46</v>
      </c>
      <c r="E323" s="18" t="s">
        <v>185</v>
      </c>
      <c r="F323" s="18" t="n">
        <v>2603</v>
      </c>
      <c r="G323" s="18" t="s">
        <v>125</v>
      </c>
      <c r="H323" s="18" t="s">
        <v>280</v>
      </c>
      <c r="I323" s="18" t="s">
        <v>20</v>
      </c>
      <c r="J323" s="18" t="s">
        <v>13</v>
      </c>
      <c r="K323" s="18" t="s">
        <v>165</v>
      </c>
      <c r="L323" s="18" t="s">
        <v>125</v>
      </c>
      <c r="M323" s="18" t="s">
        <v>125</v>
      </c>
      <c r="N323" s="18" t="s">
        <v>125</v>
      </c>
      <c r="O323" s="18"/>
      <c r="P323" s="19" t="n">
        <v>46141.2083333333</v>
      </c>
      <c r="Q323" s="19" t="n">
        <v>46141.25</v>
      </c>
      <c r="R323" s="19" t="n">
        <v>46141.9791666667</v>
      </c>
      <c r="S323" s="20" t="n">
        <f aca="false">ROUND((Q323-P323)*24,4)</f>
        <v>1</v>
      </c>
      <c r="T323" s="18" t="str">
        <f aca="false">TEXT(P323,"YYYY-MM")</f>
        <v>2026-04</v>
      </c>
      <c r="U323" s="18" t="n">
        <f aca="false">RANK(S323,$S$2:$S$670)+COUNTIF($S$2:S323,S323)-1</f>
        <v>465</v>
      </c>
      <c r="V323" s="20" t="n">
        <f aca="false">ROUND((R323-Q323)*24,4)</f>
        <v>17.5</v>
      </c>
      <c r="W323" s="20" t="n">
        <f aca="false">ROUND((R323-P323)*24,4)</f>
        <v>18.5</v>
      </c>
      <c r="X323" s="18" t="str">
        <f aca="false">TEXT(P323,"dddd")</f>
        <v>Wednesday</v>
      </c>
      <c r="Y323" s="18" t="n">
        <f aca="false">HOUR(Q323)</f>
        <v>6</v>
      </c>
    </row>
    <row r="324" customFormat="false" ht="15" hidden="false" customHeight="false" outlineLevel="0" collapsed="false">
      <c r="A324" s="18" t="s">
        <v>32</v>
      </c>
      <c r="B324" s="18" t="s">
        <v>182</v>
      </c>
      <c r="C324" s="18" t="s">
        <v>183</v>
      </c>
      <c r="D324" s="18" t="s">
        <v>48</v>
      </c>
      <c r="E324" s="18" t="s">
        <v>168</v>
      </c>
      <c r="F324" s="18" t="n">
        <v>2605</v>
      </c>
      <c r="G324" s="18" t="s">
        <v>127</v>
      </c>
      <c r="H324" s="18" t="s">
        <v>304</v>
      </c>
      <c r="I324" s="18" t="s">
        <v>23</v>
      </c>
      <c r="J324" s="18" t="s">
        <v>13</v>
      </c>
      <c r="K324" s="18" t="s">
        <v>12</v>
      </c>
      <c r="L324" s="18" t="s">
        <v>125</v>
      </c>
      <c r="M324" s="18" t="s">
        <v>125</v>
      </c>
      <c r="N324" s="18" t="s">
        <v>125</v>
      </c>
      <c r="O324" s="18"/>
      <c r="P324" s="19" t="n">
        <v>46141.3333333333</v>
      </c>
      <c r="Q324" s="19" t="n">
        <v>46141.375</v>
      </c>
      <c r="R324" s="19" t="n">
        <v>46141.8333333333</v>
      </c>
      <c r="S324" s="20" t="n">
        <f aca="false">ROUND((Q324-P324)*24,4)</f>
        <v>1</v>
      </c>
      <c r="T324" s="18" t="str">
        <f aca="false">TEXT(P324,"YYYY-MM")</f>
        <v>2026-04</v>
      </c>
      <c r="U324" s="18" t="n">
        <f aca="false">RANK(S324,$S$2:$S$670)+COUNTIF($S$2:S324,S324)-1</f>
        <v>466</v>
      </c>
      <c r="V324" s="20" t="n">
        <f aca="false">ROUND((R324-Q324)*24,4)</f>
        <v>11</v>
      </c>
      <c r="W324" s="20" t="n">
        <f aca="false">ROUND((R324-P324)*24,4)</f>
        <v>12</v>
      </c>
      <c r="X324" s="18" t="str">
        <f aca="false">TEXT(P324,"dddd")</f>
        <v>Wednesday</v>
      </c>
      <c r="Y324" s="18" t="n">
        <f aca="false">HOUR(Q324)</f>
        <v>9</v>
      </c>
    </row>
    <row r="325" customFormat="false" ht="15" hidden="false" customHeight="false" outlineLevel="0" collapsed="false">
      <c r="A325" s="18" t="s">
        <v>35</v>
      </c>
      <c r="B325" s="18" t="s">
        <v>199</v>
      </c>
      <c r="C325" s="18" t="s">
        <v>200</v>
      </c>
      <c r="D325" s="18" t="s">
        <v>46</v>
      </c>
      <c r="E325" s="18" t="s">
        <v>163</v>
      </c>
      <c r="F325" s="18" t="n">
        <v>2604</v>
      </c>
      <c r="G325" s="18" t="s">
        <v>125</v>
      </c>
      <c r="H325" s="18" t="s">
        <v>294</v>
      </c>
      <c r="I325" s="18" t="s">
        <v>20</v>
      </c>
      <c r="J325" s="18" t="s">
        <v>13</v>
      </c>
      <c r="K325" s="18" t="s">
        <v>309</v>
      </c>
      <c r="L325" s="18" t="s">
        <v>125</v>
      </c>
      <c r="M325" s="18" t="s">
        <v>144</v>
      </c>
      <c r="N325" s="18" t="s">
        <v>125</v>
      </c>
      <c r="O325" s="18"/>
      <c r="P325" s="19" t="n">
        <v>46141.7916666667</v>
      </c>
      <c r="Q325" s="19" t="n">
        <v>46141.9791666667</v>
      </c>
      <c r="R325" s="19" t="n">
        <v>46142.4583333333</v>
      </c>
      <c r="S325" s="20" t="n">
        <f aca="false">ROUND((Q325-P325)*24,4)</f>
        <v>4.5</v>
      </c>
      <c r="T325" s="18" t="str">
        <f aca="false">TEXT(P325,"YYYY-MM")</f>
        <v>2026-04</v>
      </c>
      <c r="U325" s="18" t="n">
        <f aca="false">RANK(S325,$S$2:$S$670)+COUNTIF($S$2:S325,S325)-1</f>
        <v>244</v>
      </c>
      <c r="V325" s="20" t="n">
        <f aca="false">ROUND((R325-Q325)*24,4)</f>
        <v>11.5</v>
      </c>
      <c r="W325" s="20" t="n">
        <f aca="false">ROUND((R325-P325)*24,4)</f>
        <v>16</v>
      </c>
      <c r="X325" s="18" t="str">
        <f aca="false">TEXT(P325,"dddd")</f>
        <v>Wednesday</v>
      </c>
      <c r="Y325" s="18" t="n">
        <f aca="false">HOUR(Q325)</f>
        <v>23</v>
      </c>
    </row>
    <row r="326" customFormat="false" ht="15" hidden="false" customHeight="false" outlineLevel="0" collapsed="false">
      <c r="A326" s="18" t="s">
        <v>32</v>
      </c>
      <c r="B326" s="18" t="s">
        <v>182</v>
      </c>
      <c r="C326" s="18" t="s">
        <v>183</v>
      </c>
      <c r="D326" s="18" t="s">
        <v>48</v>
      </c>
      <c r="E326" s="18" t="s">
        <v>163</v>
      </c>
      <c r="F326" s="18" t="n">
        <v>2605</v>
      </c>
      <c r="G326" s="18" t="s">
        <v>125</v>
      </c>
      <c r="H326" s="18" t="s">
        <v>305</v>
      </c>
      <c r="I326" s="18" t="s">
        <v>17</v>
      </c>
      <c r="J326" s="18" t="s">
        <v>12</v>
      </c>
      <c r="K326" s="18" t="s">
        <v>13</v>
      </c>
      <c r="L326" s="18" t="s">
        <v>125</v>
      </c>
      <c r="M326" s="18" t="s">
        <v>125</v>
      </c>
      <c r="N326" s="18" t="s">
        <v>125</v>
      </c>
      <c r="O326" s="18"/>
      <c r="P326" s="19" t="n">
        <v>46141.9166666667</v>
      </c>
      <c r="Q326" s="19" t="n">
        <v>46142.7916666667</v>
      </c>
      <c r="R326" s="19" t="n">
        <v>46144.0416666667</v>
      </c>
      <c r="S326" s="20" t="n">
        <f aca="false">ROUND((Q326-P326)*24,4)</f>
        <v>21</v>
      </c>
      <c r="T326" s="18" t="str">
        <f aca="false">TEXT(P326,"YYYY-MM")</f>
        <v>2026-04</v>
      </c>
      <c r="U326" s="18" t="n">
        <f aca="false">RANK(S326,$S$2:$S$670)+COUNTIF($S$2:S326,S326)-1</f>
        <v>41</v>
      </c>
      <c r="V326" s="20" t="n">
        <f aca="false">ROUND((R326-Q326)*24,4)</f>
        <v>30</v>
      </c>
      <c r="W326" s="20" t="n">
        <f aca="false">ROUND((R326-P326)*24,4)</f>
        <v>51</v>
      </c>
      <c r="X326" s="18" t="str">
        <f aca="false">TEXT(P326,"dddd")</f>
        <v>Wednesday</v>
      </c>
      <c r="Y326" s="18" t="n">
        <f aca="false">HOUR(Q326)</f>
        <v>19</v>
      </c>
    </row>
    <row r="327" customFormat="false" ht="15" hidden="false" customHeight="false" outlineLevel="0" collapsed="false">
      <c r="A327" s="18" t="s">
        <v>34</v>
      </c>
      <c r="B327" s="18" t="s">
        <v>240</v>
      </c>
      <c r="C327" s="18" t="s">
        <v>241</v>
      </c>
      <c r="D327" s="18" t="s">
        <v>50</v>
      </c>
      <c r="E327" s="18" t="s">
        <v>185</v>
      </c>
      <c r="F327" s="18" t="n">
        <v>2605</v>
      </c>
      <c r="G327" s="18" t="s">
        <v>125</v>
      </c>
      <c r="H327" s="18" t="s">
        <v>305</v>
      </c>
      <c r="I327" s="18" t="s">
        <v>23</v>
      </c>
      <c r="J327" s="18" t="s">
        <v>13</v>
      </c>
      <c r="K327" s="18" t="s">
        <v>165</v>
      </c>
      <c r="L327" s="18" t="s">
        <v>125</v>
      </c>
      <c r="M327" s="18" t="s">
        <v>125</v>
      </c>
      <c r="N327" s="18" t="s">
        <v>125</v>
      </c>
      <c r="O327" s="18"/>
      <c r="P327" s="19" t="n">
        <v>46142.25</v>
      </c>
      <c r="Q327" s="19" t="n">
        <v>46142.2916666667</v>
      </c>
      <c r="R327" s="19" t="n">
        <v>46142.625</v>
      </c>
      <c r="S327" s="20" t="n">
        <f aca="false">ROUND((Q327-P327)*24,4)</f>
        <v>1</v>
      </c>
      <c r="T327" s="18" t="str">
        <f aca="false">TEXT(P327,"YYYY-MM")</f>
        <v>2026-04</v>
      </c>
      <c r="U327" s="18" t="n">
        <f aca="false">RANK(S327,$S$2:$S$670)+COUNTIF($S$2:S327,S327)-1</f>
        <v>467</v>
      </c>
      <c r="V327" s="20" t="n">
        <f aca="false">ROUND((R327-Q327)*24,4)</f>
        <v>8</v>
      </c>
      <c r="W327" s="20" t="n">
        <f aca="false">ROUND((R327-P327)*24,4)</f>
        <v>9</v>
      </c>
      <c r="X327" s="18" t="str">
        <f aca="false">TEXT(P327,"dddd")</f>
        <v>Thursday</v>
      </c>
      <c r="Y327" s="18" t="n">
        <f aca="false">HOUR(Q327)</f>
        <v>7</v>
      </c>
    </row>
    <row r="328" customFormat="false" ht="15" hidden="false" customHeight="false" outlineLevel="0" collapsed="false">
      <c r="A328" s="18" t="s">
        <v>33</v>
      </c>
      <c r="B328" s="18" t="s">
        <v>246</v>
      </c>
      <c r="C328" s="18" t="s">
        <v>247</v>
      </c>
      <c r="D328" s="18" t="s">
        <v>51</v>
      </c>
      <c r="E328" s="18" t="s">
        <v>163</v>
      </c>
      <c r="F328" s="18" t="n">
        <v>145</v>
      </c>
      <c r="G328" s="18" t="s">
        <v>127</v>
      </c>
      <c r="H328" s="18" t="s">
        <v>310</v>
      </c>
      <c r="I328" s="18" t="s">
        <v>23</v>
      </c>
      <c r="J328" s="18" t="s">
        <v>13</v>
      </c>
      <c r="K328" s="18" t="s">
        <v>12</v>
      </c>
      <c r="L328" s="18" t="s">
        <v>125</v>
      </c>
      <c r="M328" s="18" t="s">
        <v>125</v>
      </c>
      <c r="N328" s="18" t="s">
        <v>125</v>
      </c>
      <c r="O328" s="18"/>
      <c r="P328" s="19" t="n">
        <v>46142.7083333333</v>
      </c>
      <c r="Q328" s="19" t="n">
        <v>46142.75</v>
      </c>
      <c r="R328" s="19" t="n">
        <v>46143.2083333333</v>
      </c>
      <c r="S328" s="20" t="n">
        <f aca="false">ROUND((Q328-P328)*24,4)</f>
        <v>1</v>
      </c>
      <c r="T328" s="18" t="str">
        <f aca="false">TEXT(P328,"YYYY-MM")</f>
        <v>2026-04</v>
      </c>
      <c r="U328" s="18" t="n">
        <f aca="false">RANK(S328,$S$2:$S$670)+COUNTIF($S$2:S328,S328)-1</f>
        <v>468</v>
      </c>
      <c r="V328" s="20" t="n">
        <f aca="false">ROUND((R328-Q328)*24,4)</f>
        <v>11</v>
      </c>
      <c r="W328" s="20" t="n">
        <f aca="false">ROUND((R328-P328)*24,4)</f>
        <v>12</v>
      </c>
      <c r="X328" s="18" t="str">
        <f aca="false">TEXT(P328,"dddd")</f>
        <v>Thursday</v>
      </c>
      <c r="Y328" s="18" t="n">
        <f aca="false">HOUR(Q328)</f>
        <v>18</v>
      </c>
    </row>
    <row r="329" customFormat="false" ht="15" hidden="false" customHeight="false" outlineLevel="0" collapsed="false">
      <c r="A329" s="18" t="s">
        <v>33</v>
      </c>
      <c r="B329" s="18" t="s">
        <v>246</v>
      </c>
      <c r="C329" s="18" t="s">
        <v>247</v>
      </c>
      <c r="D329" s="18" t="s">
        <v>51</v>
      </c>
      <c r="E329" s="18" t="s">
        <v>176</v>
      </c>
      <c r="F329" s="18" t="n">
        <v>145</v>
      </c>
      <c r="G329" s="18" t="s">
        <v>125</v>
      </c>
      <c r="H329" s="18" t="s">
        <v>311</v>
      </c>
      <c r="I329" s="18" t="s">
        <v>18</v>
      </c>
      <c r="J329" s="18" t="s">
        <v>12</v>
      </c>
      <c r="K329" s="18" t="s">
        <v>13</v>
      </c>
      <c r="L329" s="18" t="s">
        <v>125</v>
      </c>
      <c r="M329" s="18" t="s">
        <v>125</v>
      </c>
      <c r="N329" s="18" t="s">
        <v>125</v>
      </c>
      <c r="O329" s="18"/>
      <c r="P329" s="19" t="n">
        <v>46143.2916666667</v>
      </c>
      <c r="Q329" s="19" t="n">
        <v>46143.375</v>
      </c>
      <c r="R329" s="19" t="n">
        <v>46144.6666666667</v>
      </c>
      <c r="S329" s="20" t="n">
        <f aca="false">ROUND((Q329-P329)*24,4)</f>
        <v>2</v>
      </c>
      <c r="T329" s="18" t="str">
        <f aca="false">TEXT(P329,"YYYY-MM")</f>
        <v>2026-05</v>
      </c>
      <c r="U329" s="18" t="n">
        <f aca="false">RANK(S329,$S$2:$S$670)+COUNTIF($S$2:S329,S329)-1</f>
        <v>330</v>
      </c>
      <c r="V329" s="20" t="n">
        <f aca="false">ROUND((R329-Q329)*24,4)</f>
        <v>31</v>
      </c>
      <c r="W329" s="20" t="n">
        <f aca="false">ROUND((R329-P329)*24,4)</f>
        <v>33</v>
      </c>
      <c r="X329" s="18" t="str">
        <f aca="false">TEXT(P329,"dddd")</f>
        <v>Friday</v>
      </c>
      <c r="Y329" s="18" t="n">
        <f aca="false">HOUR(Q329)</f>
        <v>9</v>
      </c>
    </row>
    <row r="330" customFormat="false" ht="15" hidden="false" customHeight="false" outlineLevel="0" collapsed="false">
      <c r="A330" s="18" t="s">
        <v>31</v>
      </c>
      <c r="B330" s="18" t="s">
        <v>312</v>
      </c>
      <c r="C330" s="18" t="s">
        <v>313</v>
      </c>
      <c r="D330" s="18" t="s">
        <v>47</v>
      </c>
      <c r="E330" s="18" t="s">
        <v>198</v>
      </c>
      <c r="F330" s="18" t="n">
        <v>2605</v>
      </c>
      <c r="G330" s="18" t="s">
        <v>127</v>
      </c>
      <c r="H330" s="18" t="s">
        <v>304</v>
      </c>
      <c r="I330" s="18" t="s">
        <v>24</v>
      </c>
      <c r="J330" s="18" t="s">
        <v>13</v>
      </c>
      <c r="K330" s="18" t="s">
        <v>12</v>
      </c>
      <c r="L330" s="18" t="s">
        <v>144</v>
      </c>
      <c r="M330" s="18" t="s">
        <v>125</v>
      </c>
      <c r="N330" s="18" t="s">
        <v>125</v>
      </c>
      <c r="O330" s="18" t="s">
        <v>314</v>
      </c>
      <c r="P330" s="19" t="n">
        <v>46143.9090277778</v>
      </c>
      <c r="Q330" s="19" t="n">
        <v>46143.9097222222</v>
      </c>
      <c r="R330" s="19" t="n">
        <v>46143.9104166667</v>
      </c>
      <c r="S330" s="20" t="n">
        <f aca="false">ROUND((Q330-P330)*24,4)</f>
        <v>0.0167</v>
      </c>
      <c r="T330" s="18" t="str">
        <f aca="false">TEXT(P330,"YYYY-MM")</f>
        <v>2026-05</v>
      </c>
      <c r="U330" s="18" t="n">
        <f aca="false">RANK(S330,$S$2:$S$670)+COUNTIF($S$2:S330,S330)-1</f>
        <v>639</v>
      </c>
      <c r="V330" s="20" t="n">
        <f aca="false">ROUND((R330-Q330)*24,4)</f>
        <v>0.0167</v>
      </c>
      <c r="W330" s="20" t="n">
        <f aca="false">ROUND((R330-P330)*24,4)</f>
        <v>0.0333</v>
      </c>
      <c r="X330" s="18" t="str">
        <f aca="false">TEXT(P330,"dddd")</f>
        <v>Friday</v>
      </c>
      <c r="Y330" s="18" t="n">
        <f aca="false">HOUR(Q330)</f>
        <v>21</v>
      </c>
    </row>
    <row r="331" customFormat="false" ht="15" hidden="false" customHeight="false" outlineLevel="0" collapsed="false">
      <c r="A331" s="18" t="s">
        <v>31</v>
      </c>
      <c r="B331" s="18" t="s">
        <v>312</v>
      </c>
      <c r="C331" s="18" t="s">
        <v>313</v>
      </c>
      <c r="D331" s="18" t="s">
        <v>47</v>
      </c>
      <c r="E331" s="18" t="s">
        <v>168</v>
      </c>
      <c r="F331" s="18" t="n">
        <v>2605</v>
      </c>
      <c r="G331" s="18" t="s">
        <v>125</v>
      </c>
      <c r="H331" s="18" t="s">
        <v>305</v>
      </c>
      <c r="I331" s="18" t="s">
        <v>18</v>
      </c>
      <c r="J331" s="18" t="s">
        <v>12</v>
      </c>
      <c r="K331" s="18" t="s">
        <v>13</v>
      </c>
      <c r="L331" s="18" t="s">
        <v>144</v>
      </c>
      <c r="M331" s="18" t="s">
        <v>125</v>
      </c>
      <c r="N331" s="18" t="s">
        <v>125</v>
      </c>
      <c r="O331" s="18" t="s">
        <v>314</v>
      </c>
      <c r="P331" s="19" t="n">
        <v>46143.9111111111</v>
      </c>
      <c r="Q331" s="19" t="n">
        <v>46143.9118055556</v>
      </c>
      <c r="R331" s="19" t="n">
        <v>46143.9125</v>
      </c>
      <c r="S331" s="20" t="n">
        <f aca="false">ROUND((Q331-P331)*24,4)</f>
        <v>0.0167</v>
      </c>
      <c r="T331" s="18" t="str">
        <f aca="false">TEXT(P331,"YYYY-MM")</f>
        <v>2026-05</v>
      </c>
      <c r="U331" s="18" t="n">
        <f aca="false">RANK(S331,$S$2:$S$670)+COUNTIF($S$2:S331,S331)-1</f>
        <v>640</v>
      </c>
      <c r="V331" s="20" t="n">
        <f aca="false">ROUND((R331-Q331)*24,4)</f>
        <v>0.0167</v>
      </c>
      <c r="W331" s="20" t="n">
        <f aca="false">ROUND((R331-P331)*24,4)</f>
        <v>0.0333</v>
      </c>
      <c r="X331" s="18" t="str">
        <f aca="false">TEXT(P331,"dddd")</f>
        <v>Friday</v>
      </c>
      <c r="Y331" s="18" t="n">
        <f aca="false">HOUR(Q331)</f>
        <v>21</v>
      </c>
    </row>
    <row r="332" customFormat="false" ht="15" hidden="false" customHeight="false" outlineLevel="0" collapsed="false">
      <c r="A332" s="18" t="s">
        <v>32</v>
      </c>
      <c r="B332" s="18" t="s">
        <v>182</v>
      </c>
      <c r="C332" s="18" t="s">
        <v>183</v>
      </c>
      <c r="D332" s="18" t="s">
        <v>48</v>
      </c>
      <c r="E332" s="18" t="s">
        <v>176</v>
      </c>
      <c r="F332" s="18" t="n">
        <v>2605</v>
      </c>
      <c r="G332" s="18" t="s">
        <v>125</v>
      </c>
      <c r="H332" s="18" t="s">
        <v>305</v>
      </c>
      <c r="I332" s="18" t="s">
        <v>23</v>
      </c>
      <c r="J332" s="18" t="s">
        <v>13</v>
      </c>
      <c r="K332" s="18" t="s">
        <v>309</v>
      </c>
      <c r="L332" s="18" t="s">
        <v>125</v>
      </c>
      <c r="M332" s="18" t="s">
        <v>125</v>
      </c>
      <c r="N332" s="18" t="s">
        <v>125</v>
      </c>
      <c r="O332" s="18"/>
      <c r="P332" s="19" t="n">
        <v>46144.2083333333</v>
      </c>
      <c r="Q332" s="19" t="n">
        <v>46144.4583333333</v>
      </c>
      <c r="R332" s="19" t="n">
        <v>46144.9166666667</v>
      </c>
      <c r="S332" s="20" t="n">
        <f aca="false">ROUND((Q332-P332)*24,4)</f>
        <v>6</v>
      </c>
      <c r="T332" s="18" t="str">
        <f aca="false">TEXT(P332,"YYYY-MM")</f>
        <v>2026-05</v>
      </c>
      <c r="U332" s="18" t="n">
        <f aca="false">RANK(S332,$S$2:$S$670)+COUNTIF($S$2:S332,S332)-1</f>
        <v>213</v>
      </c>
      <c r="V332" s="20" t="n">
        <f aca="false">ROUND((R332-Q332)*24,4)</f>
        <v>11</v>
      </c>
      <c r="W332" s="20" t="n">
        <f aca="false">ROUND((R332-P332)*24,4)</f>
        <v>17</v>
      </c>
      <c r="X332" s="18" t="str">
        <f aca="false">TEXT(P332,"dddd")</f>
        <v>Saturday</v>
      </c>
      <c r="Y332" s="18" t="n">
        <f aca="false">HOUR(Q332)</f>
        <v>11</v>
      </c>
    </row>
    <row r="333" customFormat="false" ht="15" hidden="false" customHeight="false" outlineLevel="0" collapsed="false">
      <c r="A333" s="18" t="s">
        <v>33</v>
      </c>
      <c r="B333" s="18" t="s">
        <v>246</v>
      </c>
      <c r="C333" s="18" t="s">
        <v>247</v>
      </c>
      <c r="D333" s="18" t="s">
        <v>51</v>
      </c>
      <c r="E333" s="18" t="s">
        <v>185</v>
      </c>
      <c r="F333" s="18" t="n">
        <v>145</v>
      </c>
      <c r="G333" s="18" t="s">
        <v>125</v>
      </c>
      <c r="H333" s="18" t="s">
        <v>311</v>
      </c>
      <c r="I333" s="18" t="s">
        <v>23</v>
      </c>
      <c r="J333" s="18" t="s">
        <v>13</v>
      </c>
      <c r="K333" s="18" t="s">
        <v>165</v>
      </c>
      <c r="L333" s="18" t="s">
        <v>125</v>
      </c>
      <c r="M333" s="18" t="s">
        <v>125</v>
      </c>
      <c r="N333" s="18" t="s">
        <v>125</v>
      </c>
      <c r="O333" s="18"/>
      <c r="P333" s="19" t="n">
        <v>46144.8333333333</v>
      </c>
      <c r="Q333" s="19" t="n">
        <v>46144.875</v>
      </c>
      <c r="R333" s="19" t="n">
        <v>46145.375</v>
      </c>
      <c r="S333" s="20" t="n">
        <f aca="false">ROUND((Q333-P333)*24,4)</f>
        <v>1</v>
      </c>
      <c r="T333" s="18" t="str">
        <f aca="false">TEXT(P333,"YYYY-MM")</f>
        <v>2026-05</v>
      </c>
      <c r="U333" s="18" t="n">
        <f aca="false">RANK(S333,$S$2:$S$670)+COUNTIF($S$2:S333,S333)-1</f>
        <v>469</v>
      </c>
      <c r="V333" s="20" t="n">
        <f aca="false">ROUND((R333-Q333)*24,4)</f>
        <v>12</v>
      </c>
      <c r="W333" s="20" t="n">
        <f aca="false">ROUND((R333-P333)*24,4)</f>
        <v>13</v>
      </c>
      <c r="X333" s="18" t="str">
        <f aca="false">TEXT(P333,"dddd")</f>
        <v>Saturday</v>
      </c>
      <c r="Y333" s="18" t="n">
        <f aca="false">HOUR(Q333)</f>
        <v>21</v>
      </c>
    </row>
    <row r="334" customFormat="false" ht="15" hidden="false" customHeight="false" outlineLevel="0" collapsed="false">
      <c r="A334" s="18" t="s">
        <v>33</v>
      </c>
      <c r="B334" s="18" t="s">
        <v>174</v>
      </c>
      <c r="C334" s="18" t="s">
        <v>175</v>
      </c>
      <c r="D334" s="18" t="s">
        <v>49</v>
      </c>
      <c r="E334" s="18" t="s">
        <v>163</v>
      </c>
      <c r="F334" s="18" t="n">
        <v>2605</v>
      </c>
      <c r="G334" s="18" t="s">
        <v>127</v>
      </c>
      <c r="H334" s="18" t="s">
        <v>304</v>
      </c>
      <c r="I334" s="18" t="s">
        <v>23</v>
      </c>
      <c r="J334" s="18" t="s">
        <v>13</v>
      </c>
      <c r="K334" s="18" t="s">
        <v>12</v>
      </c>
      <c r="L334" s="18" t="s">
        <v>125</v>
      </c>
      <c r="M334" s="18" t="s">
        <v>125</v>
      </c>
      <c r="N334" s="18" t="s">
        <v>125</v>
      </c>
      <c r="O334" s="18"/>
      <c r="P334" s="19" t="n">
        <v>46144.9583333333</v>
      </c>
      <c r="Q334" s="19" t="n">
        <v>46145</v>
      </c>
      <c r="R334" s="19" t="n">
        <v>46145.2916666667</v>
      </c>
      <c r="S334" s="20" t="n">
        <f aca="false">ROUND((Q334-P334)*24,4)</f>
        <v>1</v>
      </c>
      <c r="T334" s="18" t="str">
        <f aca="false">TEXT(P334,"YYYY-MM")</f>
        <v>2026-05</v>
      </c>
      <c r="U334" s="18" t="n">
        <f aca="false">RANK(S334,$S$2:$S$670)+COUNTIF($S$2:S334,S334)-1</f>
        <v>470</v>
      </c>
      <c r="V334" s="20" t="n">
        <f aca="false">ROUND((R334-Q334)*24,4)</f>
        <v>7</v>
      </c>
      <c r="W334" s="20" t="n">
        <f aca="false">ROUND((R334-P334)*24,4)</f>
        <v>8</v>
      </c>
      <c r="X334" s="18" t="str">
        <f aca="false">TEXT(P334,"dddd")</f>
        <v>Saturday</v>
      </c>
      <c r="Y334" s="18" t="n">
        <f aca="false">HOUR(Q334)</f>
        <v>0</v>
      </c>
    </row>
    <row r="335" customFormat="false" ht="15" hidden="false" customHeight="false" outlineLevel="0" collapsed="false">
      <c r="A335" s="18" t="s">
        <v>39</v>
      </c>
      <c r="B335" s="18" t="s">
        <v>275</v>
      </c>
      <c r="C335" s="18" t="s">
        <v>276</v>
      </c>
      <c r="D335" s="18" t="s">
        <v>46</v>
      </c>
      <c r="E335" s="18" t="s">
        <v>176</v>
      </c>
      <c r="F335" s="18" t="n">
        <v>2608</v>
      </c>
      <c r="G335" s="18" t="s">
        <v>125</v>
      </c>
      <c r="H335" s="18" t="s">
        <v>302</v>
      </c>
      <c r="I335" s="18" t="s">
        <v>21</v>
      </c>
      <c r="J335" s="18" t="s">
        <v>13</v>
      </c>
      <c r="K335" s="18" t="s">
        <v>216</v>
      </c>
      <c r="L335" s="18" t="s">
        <v>125</v>
      </c>
      <c r="M335" s="18" t="s">
        <v>125</v>
      </c>
      <c r="N335" s="18" t="s">
        <v>125</v>
      </c>
      <c r="O335" s="18"/>
      <c r="P335" s="19" t="n">
        <v>46145.0208333333</v>
      </c>
      <c r="Q335" s="19" t="n">
        <v>46145.0583333333</v>
      </c>
      <c r="R335" s="19" t="n">
        <v>46145.6916666667</v>
      </c>
      <c r="S335" s="20" t="n">
        <f aca="false">ROUND((Q335-P335)*24,4)</f>
        <v>0.9</v>
      </c>
      <c r="T335" s="18" t="str">
        <f aca="false">TEXT(P335,"YYYY-MM")</f>
        <v>2026-05</v>
      </c>
      <c r="U335" s="18" t="n">
        <f aca="false">RANK(S335,$S$2:$S$670)+COUNTIF($S$2:S335,S335)-1</f>
        <v>581</v>
      </c>
      <c r="V335" s="20" t="n">
        <f aca="false">ROUND((R335-Q335)*24,4)</f>
        <v>15.2</v>
      </c>
      <c r="W335" s="20" t="n">
        <f aca="false">ROUND((R335-P335)*24,4)</f>
        <v>16.1</v>
      </c>
      <c r="X335" s="18" t="str">
        <f aca="false">TEXT(P335,"dddd")</f>
        <v>Sunday</v>
      </c>
      <c r="Y335" s="18" t="n">
        <f aca="false">HOUR(Q335)</f>
        <v>1</v>
      </c>
    </row>
    <row r="336" customFormat="false" ht="15" hidden="false" customHeight="false" outlineLevel="0" collapsed="false">
      <c r="A336" s="18" t="s">
        <v>33</v>
      </c>
      <c r="B336" s="18" t="s">
        <v>174</v>
      </c>
      <c r="C336" s="18" t="s">
        <v>175</v>
      </c>
      <c r="D336" s="18" t="s">
        <v>49</v>
      </c>
      <c r="E336" s="18" t="s">
        <v>176</v>
      </c>
      <c r="F336" s="18" t="n">
        <v>2605</v>
      </c>
      <c r="G336" s="18" t="s">
        <v>125</v>
      </c>
      <c r="H336" s="18" t="s">
        <v>305</v>
      </c>
      <c r="I336" s="18" t="s">
        <v>18</v>
      </c>
      <c r="J336" s="18" t="s">
        <v>12</v>
      </c>
      <c r="K336" s="18" t="s">
        <v>13</v>
      </c>
      <c r="L336" s="18" t="s">
        <v>125</v>
      </c>
      <c r="M336" s="18" t="s">
        <v>125</v>
      </c>
      <c r="N336" s="18" t="s">
        <v>125</v>
      </c>
      <c r="O336" s="18"/>
      <c r="P336" s="19" t="n">
        <v>46145.375</v>
      </c>
      <c r="Q336" s="19" t="n">
        <v>46145.7916666667</v>
      </c>
      <c r="R336" s="19" t="n">
        <v>46146.75</v>
      </c>
      <c r="S336" s="20" t="n">
        <f aca="false">ROUND((Q336-P336)*24,4)</f>
        <v>10</v>
      </c>
      <c r="T336" s="18" t="str">
        <f aca="false">TEXT(P336,"YYYY-MM")</f>
        <v>2026-05</v>
      </c>
      <c r="U336" s="18" t="n">
        <f aca="false">RANK(S336,$S$2:$S$670)+COUNTIF($S$2:S336,S336)-1</f>
        <v>143</v>
      </c>
      <c r="V336" s="20" t="n">
        <f aca="false">ROUND((R336-Q336)*24,4)</f>
        <v>23</v>
      </c>
      <c r="W336" s="20" t="n">
        <f aca="false">ROUND((R336-P336)*24,4)</f>
        <v>33</v>
      </c>
      <c r="X336" s="18" t="str">
        <f aca="false">TEXT(P336,"dddd")</f>
        <v>Sunday</v>
      </c>
      <c r="Y336" s="18" t="n">
        <f aca="false">HOUR(Q336)</f>
        <v>19</v>
      </c>
    </row>
    <row r="337" customFormat="false" ht="15" hidden="false" customHeight="false" outlineLevel="0" collapsed="false">
      <c r="A337" s="18" t="s">
        <v>38</v>
      </c>
      <c r="B337" s="18" t="s">
        <v>244</v>
      </c>
      <c r="C337" s="18" t="s">
        <v>245</v>
      </c>
      <c r="D337" s="18" t="s">
        <v>47</v>
      </c>
      <c r="E337" s="18" t="s">
        <v>163</v>
      </c>
      <c r="F337" s="18" t="n">
        <v>2604</v>
      </c>
      <c r="G337" s="18" t="s">
        <v>127</v>
      </c>
      <c r="H337" s="18" t="s">
        <v>293</v>
      </c>
      <c r="I337" s="18" t="s">
        <v>23</v>
      </c>
      <c r="J337" s="18" t="s">
        <v>13</v>
      </c>
      <c r="K337" s="18" t="s">
        <v>181</v>
      </c>
      <c r="L337" s="18" t="s">
        <v>125</v>
      </c>
      <c r="M337" s="18" t="s">
        <v>125</v>
      </c>
      <c r="N337" s="18" t="s">
        <v>125</v>
      </c>
      <c r="O337" s="18"/>
      <c r="P337" s="19" t="n">
        <v>46146.7083333333</v>
      </c>
      <c r="Q337" s="19" t="n">
        <v>46147.4708333333</v>
      </c>
      <c r="R337" s="19" t="n">
        <v>46148.25</v>
      </c>
      <c r="S337" s="20" t="n">
        <f aca="false">ROUND((Q337-P337)*24,4)</f>
        <v>18.3</v>
      </c>
      <c r="T337" s="18" t="str">
        <f aca="false">TEXT(P337,"YYYY-MM")</f>
        <v>2026-05</v>
      </c>
      <c r="U337" s="18" t="n">
        <f aca="false">RANK(S337,$S$2:$S$670)+COUNTIF($S$2:S337,S337)-1</f>
        <v>58</v>
      </c>
      <c r="V337" s="20" t="n">
        <f aca="false">ROUND((R337-Q337)*24,4)</f>
        <v>18.7</v>
      </c>
      <c r="W337" s="20" t="n">
        <f aca="false">ROUND((R337-P337)*24,4)</f>
        <v>37</v>
      </c>
      <c r="X337" s="18" t="str">
        <f aca="false">TEXT(P337,"dddd")</f>
        <v>Monday</v>
      </c>
      <c r="Y337" s="18" t="n">
        <f aca="false">HOUR(Q337)</f>
        <v>11</v>
      </c>
    </row>
    <row r="338" customFormat="false" ht="15" hidden="false" customHeight="false" outlineLevel="0" collapsed="false">
      <c r="A338" s="18" t="s">
        <v>33</v>
      </c>
      <c r="B338" s="18" t="s">
        <v>174</v>
      </c>
      <c r="C338" s="18" t="s">
        <v>175</v>
      </c>
      <c r="D338" s="18" t="s">
        <v>49</v>
      </c>
      <c r="E338" s="18" t="s">
        <v>185</v>
      </c>
      <c r="F338" s="18" t="n">
        <v>2605</v>
      </c>
      <c r="G338" s="18" t="s">
        <v>125</v>
      </c>
      <c r="H338" s="18" t="s">
        <v>305</v>
      </c>
      <c r="I338" s="18" t="s">
        <v>23</v>
      </c>
      <c r="J338" s="18" t="s">
        <v>13</v>
      </c>
      <c r="K338" s="18" t="s">
        <v>165</v>
      </c>
      <c r="L338" s="18" t="s">
        <v>125</v>
      </c>
      <c r="M338" s="18" t="s">
        <v>125</v>
      </c>
      <c r="N338" s="18" t="s">
        <v>125</v>
      </c>
      <c r="O338" s="18"/>
      <c r="P338" s="19" t="n">
        <v>46146.9166666667</v>
      </c>
      <c r="Q338" s="19" t="n">
        <v>46147.5416666667</v>
      </c>
      <c r="R338" s="19" t="n">
        <v>46148.0833333333</v>
      </c>
      <c r="S338" s="20" t="n">
        <f aca="false">ROUND((Q338-P338)*24,4)</f>
        <v>15</v>
      </c>
      <c r="T338" s="18" t="str">
        <f aca="false">TEXT(P338,"YYYY-MM")</f>
        <v>2026-05</v>
      </c>
      <c r="U338" s="18" t="n">
        <f aca="false">RANK(S338,$S$2:$S$670)+COUNTIF($S$2:S338,S338)-1</f>
        <v>80</v>
      </c>
      <c r="V338" s="20" t="n">
        <f aca="false">ROUND((R338-Q338)*24,4)</f>
        <v>13</v>
      </c>
      <c r="W338" s="20" t="n">
        <f aca="false">ROUND((R338-P338)*24,4)</f>
        <v>28</v>
      </c>
      <c r="X338" s="18" t="str">
        <f aca="false">TEXT(P338,"dddd")</f>
        <v>Monday</v>
      </c>
      <c r="Y338" s="18" t="n">
        <f aca="false">HOUR(Q338)</f>
        <v>13</v>
      </c>
    </row>
    <row r="339" customFormat="false" ht="15" hidden="false" customHeight="false" outlineLevel="0" collapsed="false">
      <c r="A339" s="18" t="s">
        <v>34</v>
      </c>
      <c r="B339" s="18" t="s">
        <v>171</v>
      </c>
      <c r="C339" s="18" t="s">
        <v>172</v>
      </c>
      <c r="D339" s="18" t="s">
        <v>47</v>
      </c>
      <c r="E339" s="18" t="s">
        <v>163</v>
      </c>
      <c r="F339" s="18" t="n">
        <v>2605</v>
      </c>
      <c r="G339" s="18" t="s">
        <v>127</v>
      </c>
      <c r="H339" s="18" t="s">
        <v>304</v>
      </c>
      <c r="I339" s="18" t="s">
        <v>23</v>
      </c>
      <c r="J339" s="18" t="s">
        <v>13</v>
      </c>
      <c r="K339" s="18" t="s">
        <v>12</v>
      </c>
      <c r="L339" s="18" t="s">
        <v>125</v>
      </c>
      <c r="M339" s="18" t="s">
        <v>125</v>
      </c>
      <c r="N339" s="18" t="s">
        <v>125</v>
      </c>
      <c r="O339" s="18"/>
      <c r="P339" s="19" t="n">
        <v>46146.9583333333</v>
      </c>
      <c r="Q339" s="19" t="n">
        <v>46147.5833333333</v>
      </c>
      <c r="R339" s="19" t="n">
        <v>46147.8333333333</v>
      </c>
      <c r="S339" s="20" t="n">
        <f aca="false">ROUND((Q339-P339)*24,4)</f>
        <v>15</v>
      </c>
      <c r="T339" s="18" t="str">
        <f aca="false">TEXT(P339,"YYYY-MM")</f>
        <v>2026-05</v>
      </c>
      <c r="U339" s="18" t="n">
        <f aca="false">RANK(S339,$S$2:$S$670)+COUNTIF($S$2:S339,S339)-1</f>
        <v>81</v>
      </c>
      <c r="V339" s="20" t="n">
        <f aca="false">ROUND((R339-Q339)*24,4)</f>
        <v>6</v>
      </c>
      <c r="W339" s="20" t="n">
        <f aca="false">ROUND((R339-P339)*24,4)</f>
        <v>21</v>
      </c>
      <c r="X339" s="18" t="str">
        <f aca="false">TEXT(P339,"dddd")</f>
        <v>Monday</v>
      </c>
      <c r="Y339" s="18" t="n">
        <f aca="false">HOUR(Q339)</f>
        <v>14</v>
      </c>
    </row>
    <row r="340" customFormat="false" ht="15" hidden="false" customHeight="false" outlineLevel="0" collapsed="false">
      <c r="A340" s="18" t="s">
        <v>31</v>
      </c>
      <c r="B340" s="18" t="s">
        <v>196</v>
      </c>
      <c r="C340" s="18" t="s">
        <v>197</v>
      </c>
      <c r="D340" s="18" t="s">
        <v>46</v>
      </c>
      <c r="E340" s="18" t="s">
        <v>198</v>
      </c>
      <c r="F340" s="18" t="n">
        <v>2604</v>
      </c>
      <c r="G340" s="18" t="s">
        <v>127</v>
      </c>
      <c r="H340" s="18" t="s">
        <v>293</v>
      </c>
      <c r="I340" s="18" t="s">
        <v>24</v>
      </c>
      <c r="J340" s="18" t="s">
        <v>13</v>
      </c>
      <c r="K340" s="18" t="s">
        <v>12</v>
      </c>
      <c r="L340" s="18" t="s">
        <v>125</v>
      </c>
      <c r="M340" s="18" t="s">
        <v>125</v>
      </c>
      <c r="N340" s="18" t="s">
        <v>125</v>
      </c>
      <c r="O340" s="18"/>
      <c r="P340" s="19" t="n">
        <v>46147</v>
      </c>
      <c r="Q340" s="19" t="n">
        <v>46147.0416666667</v>
      </c>
      <c r="R340" s="19" t="n">
        <v>46147.4166666667</v>
      </c>
      <c r="S340" s="20" t="n">
        <f aca="false">ROUND((Q340-P340)*24,4)</f>
        <v>1</v>
      </c>
      <c r="T340" s="18" t="str">
        <f aca="false">TEXT(P340,"YYYY-MM")</f>
        <v>2026-05</v>
      </c>
      <c r="U340" s="18" t="n">
        <f aca="false">RANK(S340,$S$2:$S$670)+COUNTIF($S$2:S340,S340)-1</f>
        <v>471</v>
      </c>
      <c r="V340" s="20" t="n">
        <f aca="false">ROUND((R340-Q340)*24,4)</f>
        <v>9</v>
      </c>
      <c r="W340" s="20" t="n">
        <f aca="false">ROUND((R340-P340)*24,4)</f>
        <v>10</v>
      </c>
      <c r="X340" s="18" t="str">
        <f aca="false">TEXT(P340,"dddd")</f>
        <v>Tuesday</v>
      </c>
      <c r="Y340" s="18" t="n">
        <f aca="false">HOUR(Q340)</f>
        <v>1</v>
      </c>
    </row>
    <row r="341" customFormat="false" ht="15" hidden="false" customHeight="false" outlineLevel="0" collapsed="false">
      <c r="A341" s="18" t="s">
        <v>31</v>
      </c>
      <c r="B341" s="18" t="s">
        <v>196</v>
      </c>
      <c r="C341" s="18" t="s">
        <v>197</v>
      </c>
      <c r="D341" s="18" t="s">
        <v>46</v>
      </c>
      <c r="E341" s="18" t="s">
        <v>168</v>
      </c>
      <c r="F341" s="18" t="n">
        <v>2604</v>
      </c>
      <c r="G341" s="18" t="s">
        <v>125</v>
      </c>
      <c r="H341" s="18" t="s">
        <v>294</v>
      </c>
      <c r="I341" s="18" t="s">
        <v>18</v>
      </c>
      <c r="J341" s="18" t="s">
        <v>12</v>
      </c>
      <c r="K341" s="18" t="s">
        <v>13</v>
      </c>
      <c r="L341" s="18" t="s">
        <v>125</v>
      </c>
      <c r="M341" s="18" t="s">
        <v>125</v>
      </c>
      <c r="N341" s="18" t="s">
        <v>125</v>
      </c>
      <c r="O341" s="18"/>
      <c r="P341" s="19" t="n">
        <v>46147.75</v>
      </c>
      <c r="Q341" s="19" t="n">
        <v>46147.875</v>
      </c>
      <c r="R341" s="19" t="n">
        <v>46148.7916666667</v>
      </c>
      <c r="S341" s="20" t="n">
        <f aca="false">ROUND((Q341-P341)*24,4)</f>
        <v>3</v>
      </c>
      <c r="T341" s="18" t="str">
        <f aca="false">TEXT(P341,"YYYY-MM")</f>
        <v>2026-05</v>
      </c>
      <c r="U341" s="18" t="n">
        <f aca="false">RANK(S341,$S$2:$S$670)+COUNTIF($S$2:S341,S341)-1</f>
        <v>285</v>
      </c>
      <c r="V341" s="20" t="n">
        <f aca="false">ROUND((R341-Q341)*24,4)</f>
        <v>22</v>
      </c>
      <c r="W341" s="20" t="n">
        <f aca="false">ROUND((R341-P341)*24,4)</f>
        <v>25</v>
      </c>
      <c r="X341" s="18" t="str">
        <f aca="false">TEXT(P341,"dddd")</f>
        <v>Tuesday</v>
      </c>
      <c r="Y341" s="18" t="n">
        <f aca="false">HOUR(Q341)</f>
        <v>21</v>
      </c>
    </row>
    <row r="342" customFormat="false" ht="15" hidden="false" customHeight="false" outlineLevel="0" collapsed="false">
      <c r="A342" s="18" t="s">
        <v>32</v>
      </c>
      <c r="B342" s="18" t="s">
        <v>188</v>
      </c>
      <c r="C342" s="18" t="s">
        <v>189</v>
      </c>
      <c r="D342" s="18" t="s">
        <v>46</v>
      </c>
      <c r="E342" s="18" t="s">
        <v>168</v>
      </c>
      <c r="F342" s="18" t="n">
        <v>2605</v>
      </c>
      <c r="G342" s="18" t="s">
        <v>127</v>
      </c>
      <c r="H342" s="18" t="s">
        <v>304</v>
      </c>
      <c r="I342" s="18" t="s">
        <v>23</v>
      </c>
      <c r="J342" s="18" t="s">
        <v>13</v>
      </c>
      <c r="K342" s="18" t="s">
        <v>12</v>
      </c>
      <c r="L342" s="18" t="s">
        <v>125</v>
      </c>
      <c r="M342" s="18" t="s">
        <v>125</v>
      </c>
      <c r="N342" s="18" t="s">
        <v>125</v>
      </c>
      <c r="O342" s="18"/>
      <c r="P342" s="19" t="n">
        <v>46147.8638888889</v>
      </c>
      <c r="Q342" s="19" t="n">
        <v>46147.8833333333</v>
      </c>
      <c r="R342" s="19" t="n">
        <v>46148.0916666667</v>
      </c>
      <c r="S342" s="20" t="n">
        <f aca="false">ROUND((Q342-P342)*24,4)</f>
        <v>0.4667</v>
      </c>
      <c r="T342" s="18" t="str">
        <f aca="false">TEXT(P342,"YYYY-MM")</f>
        <v>2026-05</v>
      </c>
      <c r="U342" s="18" t="n">
        <f aca="false">RANK(S342,$S$2:$S$670)+COUNTIF($S$2:S342,S342)-1</f>
        <v>617</v>
      </c>
      <c r="V342" s="20" t="n">
        <f aca="false">ROUND((R342-Q342)*24,4)</f>
        <v>5</v>
      </c>
      <c r="W342" s="20" t="n">
        <f aca="false">ROUND((R342-P342)*24,4)</f>
        <v>5.4667</v>
      </c>
      <c r="X342" s="18" t="str">
        <f aca="false">TEXT(P342,"dddd")</f>
        <v>Tuesday</v>
      </c>
      <c r="Y342" s="18" t="n">
        <f aca="false">HOUR(Q342)</f>
        <v>21</v>
      </c>
    </row>
    <row r="343" customFormat="false" ht="15" hidden="false" customHeight="false" outlineLevel="0" collapsed="false">
      <c r="A343" s="18" t="s">
        <v>34</v>
      </c>
      <c r="B343" s="18" t="s">
        <v>171</v>
      </c>
      <c r="C343" s="18" t="s">
        <v>172</v>
      </c>
      <c r="D343" s="18" t="s">
        <v>47</v>
      </c>
      <c r="E343" s="18" t="s">
        <v>176</v>
      </c>
      <c r="F343" s="18" t="n">
        <v>2605</v>
      </c>
      <c r="G343" s="18" t="s">
        <v>125</v>
      </c>
      <c r="H343" s="18" t="s">
        <v>305</v>
      </c>
      <c r="I343" s="18" t="s">
        <v>17</v>
      </c>
      <c r="J343" s="18" t="s">
        <v>12</v>
      </c>
      <c r="K343" s="18" t="s">
        <v>13</v>
      </c>
      <c r="L343" s="18" t="s">
        <v>125</v>
      </c>
      <c r="M343" s="18" t="s">
        <v>125</v>
      </c>
      <c r="N343" s="18" t="s">
        <v>125</v>
      </c>
      <c r="O343" s="18"/>
      <c r="P343" s="19" t="n">
        <v>46147.9166666667</v>
      </c>
      <c r="Q343" s="19" t="n">
        <v>46148.0416666667</v>
      </c>
      <c r="R343" s="19" t="n">
        <v>46149.7083333333</v>
      </c>
      <c r="S343" s="20" t="n">
        <f aca="false">ROUND((Q343-P343)*24,4)</f>
        <v>3</v>
      </c>
      <c r="T343" s="18" t="str">
        <f aca="false">TEXT(P343,"YYYY-MM")</f>
        <v>2026-05</v>
      </c>
      <c r="U343" s="18" t="n">
        <f aca="false">RANK(S343,$S$2:$S$670)+COUNTIF($S$2:S343,S343)-1</f>
        <v>286</v>
      </c>
      <c r="V343" s="20" t="n">
        <f aca="false">ROUND((R343-Q343)*24,4)</f>
        <v>40</v>
      </c>
      <c r="W343" s="20" t="n">
        <f aca="false">ROUND((R343-P343)*24,4)</f>
        <v>43</v>
      </c>
      <c r="X343" s="18" t="str">
        <f aca="false">TEXT(P343,"dddd")</f>
        <v>Tuesday</v>
      </c>
      <c r="Y343" s="18" t="n">
        <f aca="false">HOUR(Q343)</f>
        <v>1</v>
      </c>
    </row>
    <row r="344" customFormat="false" ht="15" hidden="false" customHeight="false" outlineLevel="0" collapsed="false">
      <c r="A344" s="18" t="s">
        <v>35</v>
      </c>
      <c r="B344" s="18" t="s">
        <v>228</v>
      </c>
      <c r="C344" s="18" t="s">
        <v>229</v>
      </c>
      <c r="D344" s="18" t="s">
        <v>52</v>
      </c>
      <c r="E344" s="18" t="s">
        <v>198</v>
      </c>
      <c r="F344" s="18" t="n">
        <v>26004</v>
      </c>
      <c r="G344" s="18" t="s">
        <v>127</v>
      </c>
      <c r="H344" s="18" t="s">
        <v>315</v>
      </c>
      <c r="I344" s="18" t="s">
        <v>24</v>
      </c>
      <c r="J344" s="18" t="s">
        <v>13</v>
      </c>
      <c r="K344" s="18" t="s">
        <v>12</v>
      </c>
      <c r="L344" s="18" t="s">
        <v>125</v>
      </c>
      <c r="M344" s="18" t="s">
        <v>125</v>
      </c>
      <c r="N344" s="18" t="s">
        <v>125</v>
      </c>
      <c r="O344" s="18"/>
      <c r="P344" s="19" t="n">
        <v>46147.9166666667</v>
      </c>
      <c r="Q344" s="19" t="n">
        <v>46147.9583333333</v>
      </c>
      <c r="R344" s="19" t="n">
        <v>46148.5</v>
      </c>
      <c r="S344" s="20" t="n">
        <f aca="false">ROUND((Q344-P344)*24,4)</f>
        <v>1</v>
      </c>
      <c r="T344" s="18" t="str">
        <f aca="false">TEXT(P344,"YYYY-MM")</f>
        <v>2026-05</v>
      </c>
      <c r="U344" s="18" t="n">
        <f aca="false">RANK(S344,$S$2:$S$670)+COUNTIF($S$2:S344,S344)-1</f>
        <v>472</v>
      </c>
      <c r="V344" s="20" t="n">
        <f aca="false">ROUND((R344-Q344)*24,4)</f>
        <v>13</v>
      </c>
      <c r="W344" s="20" t="n">
        <f aca="false">ROUND((R344-P344)*24,4)</f>
        <v>14</v>
      </c>
      <c r="X344" s="18" t="str">
        <f aca="false">TEXT(P344,"dddd")</f>
        <v>Tuesday</v>
      </c>
      <c r="Y344" s="18" t="n">
        <f aca="false">HOUR(Q344)</f>
        <v>23</v>
      </c>
    </row>
    <row r="345" customFormat="false" ht="15" hidden="false" customHeight="false" outlineLevel="0" collapsed="false">
      <c r="A345" s="18" t="s">
        <v>32</v>
      </c>
      <c r="B345" s="18" t="s">
        <v>188</v>
      </c>
      <c r="C345" s="18" t="s">
        <v>189</v>
      </c>
      <c r="D345" s="18" t="s">
        <v>46</v>
      </c>
      <c r="E345" s="18" t="s">
        <v>163</v>
      </c>
      <c r="F345" s="18" t="n">
        <v>2605</v>
      </c>
      <c r="G345" s="18" t="s">
        <v>125</v>
      </c>
      <c r="H345" s="18" t="s">
        <v>305</v>
      </c>
      <c r="I345" s="18" t="s">
        <v>17</v>
      </c>
      <c r="J345" s="18" t="s">
        <v>12</v>
      </c>
      <c r="K345" s="18" t="s">
        <v>13</v>
      </c>
      <c r="L345" s="18" t="s">
        <v>125</v>
      </c>
      <c r="M345" s="18" t="s">
        <v>125</v>
      </c>
      <c r="N345" s="18" t="s">
        <v>125</v>
      </c>
      <c r="O345" s="18"/>
      <c r="P345" s="19" t="n">
        <v>46148.225</v>
      </c>
      <c r="Q345" s="19" t="n">
        <v>46148.3333333333</v>
      </c>
      <c r="R345" s="19" t="n">
        <v>46149.7375</v>
      </c>
      <c r="S345" s="20" t="n">
        <f aca="false">ROUND((Q345-P345)*24,4)</f>
        <v>2.6</v>
      </c>
      <c r="T345" s="18" t="str">
        <f aca="false">TEXT(P345,"YYYY-MM")</f>
        <v>2026-05</v>
      </c>
      <c r="U345" s="18" t="n">
        <f aca="false">RANK(S345,$S$2:$S$670)+COUNTIF($S$2:S345,S345)-1</f>
        <v>304</v>
      </c>
      <c r="V345" s="20" t="n">
        <f aca="false">ROUND((R345-Q345)*24,4)</f>
        <v>33.7</v>
      </c>
      <c r="W345" s="20" t="n">
        <f aca="false">ROUND((R345-P345)*24,4)</f>
        <v>36.3</v>
      </c>
      <c r="X345" s="18" t="str">
        <f aca="false">TEXT(P345,"dddd")</f>
        <v>Wednesday</v>
      </c>
      <c r="Y345" s="18" t="n">
        <f aca="false">HOUR(Q345)</f>
        <v>8</v>
      </c>
    </row>
    <row r="346" customFormat="false" ht="15" hidden="false" customHeight="false" outlineLevel="0" collapsed="false">
      <c r="A346" s="18" t="s">
        <v>35</v>
      </c>
      <c r="B346" s="18" t="s">
        <v>228</v>
      </c>
      <c r="C346" s="18" t="s">
        <v>229</v>
      </c>
      <c r="D346" s="18" t="s">
        <v>52</v>
      </c>
      <c r="E346" s="18" t="s">
        <v>168</v>
      </c>
      <c r="F346" s="18" t="n">
        <v>26004</v>
      </c>
      <c r="G346" s="18" t="s">
        <v>125</v>
      </c>
      <c r="H346" s="18" t="s">
        <v>316</v>
      </c>
      <c r="I346" s="18" t="s">
        <v>19</v>
      </c>
      <c r="J346" s="18" t="s">
        <v>12</v>
      </c>
      <c r="K346" s="18" t="s">
        <v>13</v>
      </c>
      <c r="L346" s="18" t="s">
        <v>125</v>
      </c>
      <c r="M346" s="18" t="s">
        <v>125</v>
      </c>
      <c r="N346" s="18" t="s">
        <v>125</v>
      </c>
      <c r="O346" s="18"/>
      <c r="P346" s="19" t="n">
        <v>46148.5833333333</v>
      </c>
      <c r="Q346" s="19" t="n">
        <v>46148.8333333333</v>
      </c>
      <c r="R346" s="19" t="n">
        <v>46150.125</v>
      </c>
      <c r="S346" s="20" t="n">
        <f aca="false">ROUND((Q346-P346)*24,4)</f>
        <v>6</v>
      </c>
      <c r="T346" s="18" t="str">
        <f aca="false">TEXT(P346,"YYYY-MM")</f>
        <v>2026-05</v>
      </c>
      <c r="U346" s="18" t="n">
        <f aca="false">RANK(S346,$S$2:$S$670)+COUNTIF($S$2:S346,S346)-1</f>
        <v>214</v>
      </c>
      <c r="V346" s="20" t="n">
        <f aca="false">ROUND((R346-Q346)*24,4)</f>
        <v>31</v>
      </c>
      <c r="W346" s="20" t="n">
        <f aca="false">ROUND((R346-P346)*24,4)</f>
        <v>37</v>
      </c>
      <c r="X346" s="18" t="str">
        <f aca="false">TEXT(P346,"dddd")</f>
        <v>Wednesday</v>
      </c>
      <c r="Y346" s="18" t="n">
        <f aca="false">HOUR(Q346)</f>
        <v>20</v>
      </c>
    </row>
    <row r="347" customFormat="false" ht="15" hidden="false" customHeight="false" outlineLevel="0" collapsed="false">
      <c r="A347" s="18" t="s">
        <v>31</v>
      </c>
      <c r="B347" s="18" t="s">
        <v>312</v>
      </c>
      <c r="C347" s="18" t="s">
        <v>313</v>
      </c>
      <c r="D347" s="18" t="s">
        <v>47</v>
      </c>
      <c r="E347" s="18" t="s">
        <v>163</v>
      </c>
      <c r="F347" s="18" t="n">
        <v>2605</v>
      </c>
      <c r="G347" s="18" t="s">
        <v>125</v>
      </c>
      <c r="H347" s="18" t="s">
        <v>305</v>
      </c>
      <c r="I347" s="18" t="s">
        <v>24</v>
      </c>
      <c r="J347" s="18" t="s">
        <v>13</v>
      </c>
      <c r="K347" s="18" t="s">
        <v>165</v>
      </c>
      <c r="L347" s="18" t="s">
        <v>125</v>
      </c>
      <c r="M347" s="18" t="s">
        <v>125</v>
      </c>
      <c r="N347" s="18" t="s">
        <v>125</v>
      </c>
      <c r="O347" s="18" t="s">
        <v>314</v>
      </c>
      <c r="P347" s="19" t="n">
        <v>46148.95</v>
      </c>
      <c r="Q347" s="19" t="n">
        <v>46148.9625</v>
      </c>
      <c r="R347" s="19" t="n">
        <v>46149.8416666667</v>
      </c>
      <c r="S347" s="20" t="n">
        <f aca="false">ROUND((Q347-P347)*24,4)</f>
        <v>0.3</v>
      </c>
      <c r="T347" s="18" t="str">
        <f aca="false">TEXT(P347,"YYYY-MM")</f>
        <v>2026-05</v>
      </c>
      <c r="U347" s="18" t="n">
        <f aca="false">RANK(S347,$S$2:$S$670)+COUNTIF($S$2:S347,S347)-1</f>
        <v>621</v>
      </c>
      <c r="V347" s="20" t="n">
        <f aca="false">ROUND((R347-Q347)*24,4)</f>
        <v>21.1</v>
      </c>
      <c r="W347" s="20" t="n">
        <f aca="false">ROUND((R347-P347)*24,4)</f>
        <v>21.4</v>
      </c>
      <c r="X347" s="18" t="str">
        <f aca="false">TEXT(P347,"dddd")</f>
        <v>Wednesday</v>
      </c>
      <c r="Y347" s="18" t="n">
        <f aca="false">HOUR(Q347)</f>
        <v>23</v>
      </c>
    </row>
    <row r="348" customFormat="false" ht="15" hidden="false" customHeight="false" outlineLevel="0" collapsed="false">
      <c r="A348" s="18" t="s">
        <v>31</v>
      </c>
      <c r="B348" s="18" t="s">
        <v>196</v>
      </c>
      <c r="C348" s="18" t="s">
        <v>197</v>
      </c>
      <c r="D348" s="18" t="s">
        <v>46</v>
      </c>
      <c r="E348" s="18" t="s">
        <v>163</v>
      </c>
      <c r="F348" s="18" t="n">
        <v>2604</v>
      </c>
      <c r="G348" s="18" t="s">
        <v>125</v>
      </c>
      <c r="H348" s="18" t="s">
        <v>294</v>
      </c>
      <c r="I348" s="18" t="s">
        <v>24</v>
      </c>
      <c r="J348" s="18" t="s">
        <v>13</v>
      </c>
      <c r="K348" s="18" t="s">
        <v>165</v>
      </c>
      <c r="L348" s="18" t="s">
        <v>125</v>
      </c>
      <c r="M348" s="18" t="s">
        <v>125</v>
      </c>
      <c r="N348" s="18" t="s">
        <v>125</v>
      </c>
      <c r="O348" s="18"/>
      <c r="P348" s="19" t="n">
        <v>46148.9583333333</v>
      </c>
      <c r="Q348" s="19" t="n">
        <v>46149</v>
      </c>
      <c r="R348" s="19" t="n">
        <v>46149.2083333333</v>
      </c>
      <c r="S348" s="20" t="n">
        <f aca="false">ROUND((Q348-P348)*24,4)</f>
        <v>1</v>
      </c>
      <c r="T348" s="18" t="str">
        <f aca="false">TEXT(P348,"YYYY-MM")</f>
        <v>2026-05</v>
      </c>
      <c r="U348" s="18" t="n">
        <f aca="false">RANK(S348,$S$2:$S$670)+COUNTIF($S$2:S348,S348)-1</f>
        <v>473</v>
      </c>
      <c r="V348" s="20" t="n">
        <f aca="false">ROUND((R348-Q348)*24,4)</f>
        <v>5</v>
      </c>
      <c r="W348" s="20" t="n">
        <f aca="false">ROUND((R348-P348)*24,4)</f>
        <v>6</v>
      </c>
      <c r="X348" s="18" t="str">
        <f aca="false">TEXT(P348,"dddd")</f>
        <v>Wednesday</v>
      </c>
      <c r="Y348" s="18" t="n">
        <f aca="false">HOUR(Q348)</f>
        <v>0</v>
      </c>
    </row>
    <row r="349" customFormat="false" ht="15" hidden="false" customHeight="false" outlineLevel="0" collapsed="false">
      <c r="A349" s="18" t="s">
        <v>36</v>
      </c>
      <c r="B349" s="18" t="s">
        <v>265</v>
      </c>
      <c r="C349" s="18" t="s">
        <v>266</v>
      </c>
      <c r="D349" s="18" t="s">
        <v>47</v>
      </c>
      <c r="E349" s="18" t="s">
        <v>168</v>
      </c>
      <c r="F349" s="18" t="n">
        <v>2604</v>
      </c>
      <c r="G349" s="18" t="s">
        <v>127</v>
      </c>
      <c r="H349" s="18" t="s">
        <v>293</v>
      </c>
      <c r="I349" s="18" t="s">
        <v>23</v>
      </c>
      <c r="J349" s="18" t="s">
        <v>13</v>
      </c>
      <c r="K349" s="18" t="s">
        <v>12</v>
      </c>
      <c r="L349" s="18" t="s">
        <v>125</v>
      </c>
      <c r="M349" s="18" t="s">
        <v>125</v>
      </c>
      <c r="N349" s="18" t="s">
        <v>125</v>
      </c>
      <c r="O349" s="18"/>
      <c r="P349" s="19" t="n">
        <v>46149.25</v>
      </c>
      <c r="Q349" s="19" t="n">
        <v>46149.2916666667</v>
      </c>
      <c r="R349" s="19" t="n">
        <v>46149.5</v>
      </c>
      <c r="S349" s="20" t="n">
        <f aca="false">ROUND((Q349-P349)*24,4)</f>
        <v>1</v>
      </c>
      <c r="T349" s="18" t="str">
        <f aca="false">TEXT(P349,"YYYY-MM")</f>
        <v>2026-05</v>
      </c>
      <c r="U349" s="18" t="n">
        <f aca="false">RANK(S349,$S$2:$S$670)+COUNTIF($S$2:S349,S349)-1</f>
        <v>474</v>
      </c>
      <c r="V349" s="20" t="n">
        <f aca="false">ROUND((R349-Q349)*24,4)</f>
        <v>5</v>
      </c>
      <c r="W349" s="20" t="n">
        <f aca="false">ROUND((R349-P349)*24,4)</f>
        <v>6</v>
      </c>
      <c r="X349" s="18" t="str">
        <f aca="false">TEXT(P349,"dddd")</f>
        <v>Thursday</v>
      </c>
      <c r="Y349" s="18" t="n">
        <f aca="false">HOUR(Q349)</f>
        <v>7</v>
      </c>
    </row>
    <row r="350" customFormat="false" ht="15" hidden="false" customHeight="false" outlineLevel="0" collapsed="false">
      <c r="A350" s="18" t="s">
        <v>36</v>
      </c>
      <c r="B350" s="18" t="s">
        <v>265</v>
      </c>
      <c r="C350" s="18" t="s">
        <v>266</v>
      </c>
      <c r="D350" s="18" t="s">
        <v>47</v>
      </c>
      <c r="E350" s="18" t="s">
        <v>163</v>
      </c>
      <c r="F350" s="18" t="n">
        <v>2604</v>
      </c>
      <c r="G350" s="18" t="s">
        <v>125</v>
      </c>
      <c r="H350" s="18" t="s">
        <v>294</v>
      </c>
      <c r="I350" s="18" t="s">
        <v>17</v>
      </c>
      <c r="J350" s="18" t="s">
        <v>12</v>
      </c>
      <c r="K350" s="18" t="s">
        <v>13</v>
      </c>
      <c r="L350" s="18" t="s">
        <v>125</v>
      </c>
      <c r="M350" s="18" t="s">
        <v>125</v>
      </c>
      <c r="N350" s="18" t="s">
        <v>125</v>
      </c>
      <c r="O350" s="18"/>
      <c r="P350" s="19" t="n">
        <v>46149.5833333333</v>
      </c>
      <c r="Q350" s="19" t="n">
        <v>46149.9583333333</v>
      </c>
      <c r="R350" s="19" t="n">
        <v>46151.2083333333</v>
      </c>
      <c r="S350" s="20" t="n">
        <f aca="false">ROUND((Q350-P350)*24,4)</f>
        <v>9</v>
      </c>
      <c r="T350" s="18" t="str">
        <f aca="false">TEXT(P350,"YYYY-MM")</f>
        <v>2026-05</v>
      </c>
      <c r="U350" s="18" t="n">
        <f aca="false">RANK(S350,$S$2:$S$670)+COUNTIF($S$2:S350,S350)-1</f>
        <v>157</v>
      </c>
      <c r="V350" s="20" t="n">
        <f aca="false">ROUND((R350-Q350)*24,4)</f>
        <v>30</v>
      </c>
      <c r="W350" s="20" t="n">
        <f aca="false">ROUND((R350-P350)*24,4)</f>
        <v>39</v>
      </c>
      <c r="X350" s="18" t="str">
        <f aca="false">TEXT(P350,"dddd")</f>
        <v>Thursday</v>
      </c>
      <c r="Y350" s="18" t="n">
        <f aca="false">HOUR(Q350)</f>
        <v>23</v>
      </c>
    </row>
    <row r="351" customFormat="false" ht="15" hidden="false" customHeight="false" outlineLevel="0" collapsed="false">
      <c r="A351" s="18" t="s">
        <v>34</v>
      </c>
      <c r="B351" s="18" t="s">
        <v>171</v>
      </c>
      <c r="C351" s="18" t="s">
        <v>172</v>
      </c>
      <c r="D351" s="18" t="s">
        <v>47</v>
      </c>
      <c r="E351" s="18" t="s">
        <v>185</v>
      </c>
      <c r="F351" s="18" t="n">
        <v>2605</v>
      </c>
      <c r="G351" s="18" t="s">
        <v>125</v>
      </c>
      <c r="H351" s="18" t="s">
        <v>305</v>
      </c>
      <c r="I351" s="18" t="s">
        <v>23</v>
      </c>
      <c r="J351" s="18" t="s">
        <v>13</v>
      </c>
      <c r="K351" s="18" t="s">
        <v>165</v>
      </c>
      <c r="L351" s="18" t="s">
        <v>125</v>
      </c>
      <c r="M351" s="18" t="s">
        <v>125</v>
      </c>
      <c r="N351" s="18" t="s">
        <v>125</v>
      </c>
      <c r="O351" s="18"/>
      <c r="P351" s="19" t="n">
        <v>46149.9166666667</v>
      </c>
      <c r="Q351" s="19" t="n">
        <v>46149.9416666667</v>
      </c>
      <c r="R351" s="19" t="n">
        <v>46150.3791666667</v>
      </c>
      <c r="S351" s="20" t="n">
        <f aca="false">ROUND((Q351-P351)*24,4)</f>
        <v>0.6</v>
      </c>
      <c r="T351" s="18" t="str">
        <f aca="false">TEXT(P351,"YYYY-MM")</f>
        <v>2026-05</v>
      </c>
      <c r="U351" s="18" t="n">
        <f aca="false">RANK(S351,$S$2:$S$670)+COUNTIF($S$2:S351,S351)-1</f>
        <v>597</v>
      </c>
      <c r="V351" s="20" t="n">
        <f aca="false">ROUND((R351-Q351)*24,4)</f>
        <v>10.5</v>
      </c>
      <c r="W351" s="20" t="n">
        <f aca="false">ROUND((R351-P351)*24,4)</f>
        <v>11.1</v>
      </c>
      <c r="X351" s="18" t="str">
        <f aca="false">TEXT(P351,"dddd")</f>
        <v>Thursday</v>
      </c>
      <c r="Y351" s="18" t="n">
        <f aca="false">HOUR(Q351)</f>
        <v>22</v>
      </c>
    </row>
    <row r="352" customFormat="false" ht="15" hidden="false" customHeight="false" outlineLevel="0" collapsed="false">
      <c r="A352" s="18" t="s">
        <v>32</v>
      </c>
      <c r="B352" s="18" t="s">
        <v>188</v>
      </c>
      <c r="C352" s="18" t="s">
        <v>189</v>
      </c>
      <c r="D352" s="18" t="s">
        <v>46</v>
      </c>
      <c r="E352" s="18" t="s">
        <v>176</v>
      </c>
      <c r="F352" s="18" t="n">
        <v>2605</v>
      </c>
      <c r="G352" s="18" t="s">
        <v>125</v>
      </c>
      <c r="H352" s="18" t="s">
        <v>305</v>
      </c>
      <c r="I352" s="18" t="s">
        <v>23</v>
      </c>
      <c r="J352" s="18" t="s">
        <v>13</v>
      </c>
      <c r="K352" s="18" t="s">
        <v>309</v>
      </c>
      <c r="L352" s="18" t="s">
        <v>125</v>
      </c>
      <c r="M352" s="18" t="s">
        <v>125</v>
      </c>
      <c r="N352" s="18" t="s">
        <v>125</v>
      </c>
      <c r="O352" s="18"/>
      <c r="P352" s="19" t="n">
        <v>46149.9583333333</v>
      </c>
      <c r="Q352" s="19" t="n">
        <v>46150.5666666667</v>
      </c>
      <c r="R352" s="19" t="n">
        <v>46151.0166666667</v>
      </c>
      <c r="S352" s="20" t="n">
        <f aca="false">ROUND((Q352-P352)*24,4)</f>
        <v>14.6</v>
      </c>
      <c r="T352" s="18" t="str">
        <f aca="false">TEXT(P352,"YYYY-MM")</f>
        <v>2026-05</v>
      </c>
      <c r="U352" s="18" t="n">
        <f aca="false">RANK(S352,$S$2:$S$670)+COUNTIF($S$2:S352,S352)-1</f>
        <v>85</v>
      </c>
      <c r="V352" s="20" t="n">
        <f aca="false">ROUND((R352-Q352)*24,4)</f>
        <v>10.8</v>
      </c>
      <c r="W352" s="20" t="n">
        <f aca="false">ROUND((R352-P352)*24,4)</f>
        <v>25.4</v>
      </c>
      <c r="X352" s="18" t="str">
        <f aca="false">TEXT(P352,"dddd")</f>
        <v>Thursday</v>
      </c>
      <c r="Y352" s="18" t="n">
        <f aca="false">HOUR(Q352)</f>
        <v>13</v>
      </c>
    </row>
    <row r="353" customFormat="false" ht="15" hidden="false" customHeight="false" outlineLevel="0" collapsed="false">
      <c r="A353" s="18" t="s">
        <v>35</v>
      </c>
      <c r="B353" s="18" t="s">
        <v>228</v>
      </c>
      <c r="C353" s="18" t="s">
        <v>229</v>
      </c>
      <c r="D353" s="18" t="s">
        <v>52</v>
      </c>
      <c r="E353" s="18" t="s">
        <v>163</v>
      </c>
      <c r="F353" s="18" t="n">
        <v>26004</v>
      </c>
      <c r="G353" s="18" t="s">
        <v>125</v>
      </c>
      <c r="H353" s="18" t="s">
        <v>316</v>
      </c>
      <c r="I353" s="18" t="s">
        <v>24</v>
      </c>
      <c r="J353" s="18" t="s">
        <v>13</v>
      </c>
      <c r="K353" s="18" t="s">
        <v>309</v>
      </c>
      <c r="L353" s="18" t="s">
        <v>125</v>
      </c>
      <c r="M353" s="18" t="s">
        <v>125</v>
      </c>
      <c r="N353" s="18" t="s">
        <v>125</v>
      </c>
      <c r="O353" s="18"/>
      <c r="P353" s="19" t="n">
        <v>46150.2916666667</v>
      </c>
      <c r="Q353" s="19" t="n">
        <v>46150.625</v>
      </c>
      <c r="R353" s="19" t="n">
        <v>46151.2083333333</v>
      </c>
      <c r="S353" s="20" t="n">
        <f aca="false">ROUND((Q353-P353)*24,4)</f>
        <v>8</v>
      </c>
      <c r="T353" s="18" t="str">
        <f aca="false">TEXT(P353,"YYYY-MM")</f>
        <v>2026-05</v>
      </c>
      <c r="U353" s="18" t="n">
        <f aca="false">RANK(S353,$S$2:$S$670)+COUNTIF($S$2:S353,S353)-1</f>
        <v>175</v>
      </c>
      <c r="V353" s="20" t="n">
        <f aca="false">ROUND((R353-Q353)*24,4)</f>
        <v>14</v>
      </c>
      <c r="W353" s="20" t="n">
        <f aca="false">ROUND((R353-P353)*24,4)</f>
        <v>22</v>
      </c>
      <c r="X353" s="18" t="str">
        <f aca="false">TEXT(P353,"dddd")</f>
        <v>Friday</v>
      </c>
      <c r="Y353" s="18" t="n">
        <f aca="false">HOUR(Q353)</f>
        <v>15</v>
      </c>
    </row>
    <row r="354" customFormat="false" ht="15" hidden="false" customHeight="false" outlineLevel="0" collapsed="false">
      <c r="A354" s="18" t="s">
        <v>36</v>
      </c>
      <c r="B354" s="18" t="s">
        <v>265</v>
      </c>
      <c r="C354" s="18" t="s">
        <v>266</v>
      </c>
      <c r="D354" s="18" t="s">
        <v>47</v>
      </c>
      <c r="E354" s="18" t="s">
        <v>176</v>
      </c>
      <c r="F354" s="18" t="n">
        <v>2604</v>
      </c>
      <c r="G354" s="18" t="s">
        <v>125</v>
      </c>
      <c r="H354" s="18" t="s">
        <v>294</v>
      </c>
      <c r="I354" s="18" t="s">
        <v>23</v>
      </c>
      <c r="J354" s="18" t="s">
        <v>13</v>
      </c>
      <c r="K354" s="18" t="s">
        <v>303</v>
      </c>
      <c r="L354" s="18" t="s">
        <v>125</v>
      </c>
      <c r="M354" s="18" t="s">
        <v>125</v>
      </c>
      <c r="N354" s="18" t="s">
        <v>125</v>
      </c>
      <c r="O354" s="18"/>
      <c r="P354" s="19" t="n">
        <v>46151.4166666667</v>
      </c>
      <c r="Q354" s="19" t="n">
        <v>46151.4583333333</v>
      </c>
      <c r="R354" s="19" t="n">
        <v>46151.85</v>
      </c>
      <c r="S354" s="20" t="n">
        <f aca="false">ROUND((Q354-P354)*24,4)</f>
        <v>1</v>
      </c>
      <c r="T354" s="18" t="str">
        <f aca="false">TEXT(P354,"YYYY-MM")</f>
        <v>2026-05</v>
      </c>
      <c r="U354" s="18" t="n">
        <f aca="false">RANK(S354,$S$2:$S$670)+COUNTIF($S$2:S354,S354)-1</f>
        <v>475</v>
      </c>
      <c r="V354" s="20" t="n">
        <f aca="false">ROUND((R354-Q354)*24,4)</f>
        <v>9.4</v>
      </c>
      <c r="W354" s="20" t="n">
        <f aca="false">ROUND((R354-P354)*24,4)</f>
        <v>10.4</v>
      </c>
      <c r="X354" s="18" t="str">
        <f aca="false">TEXT(P354,"dddd")</f>
        <v>Saturday</v>
      </c>
      <c r="Y354" s="18" t="n">
        <f aca="false">HOUR(Q354)</f>
        <v>11</v>
      </c>
    </row>
    <row r="355" customFormat="false" ht="15" hidden="false" customHeight="false" outlineLevel="0" collapsed="false">
      <c r="A355" s="18" t="s">
        <v>31</v>
      </c>
      <c r="B355" s="18" t="s">
        <v>291</v>
      </c>
      <c r="C355" s="18" t="s">
        <v>292</v>
      </c>
      <c r="D355" s="18" t="s">
        <v>53</v>
      </c>
      <c r="E355" s="18" t="s">
        <v>198</v>
      </c>
      <c r="F355" s="18" t="n">
        <v>2603</v>
      </c>
      <c r="G355" s="18" t="s">
        <v>127</v>
      </c>
      <c r="H355" s="18" t="s">
        <v>279</v>
      </c>
      <c r="I355" s="18" t="s">
        <v>24</v>
      </c>
      <c r="J355" s="18" t="s">
        <v>13</v>
      </c>
      <c r="K355" s="18" t="s">
        <v>12</v>
      </c>
      <c r="L355" s="18" t="s">
        <v>144</v>
      </c>
      <c r="M355" s="18" t="s">
        <v>125</v>
      </c>
      <c r="N355" s="18" t="s">
        <v>125</v>
      </c>
      <c r="O355" s="18" t="s">
        <v>308</v>
      </c>
      <c r="P355" s="19" t="n">
        <v>46152.8777777778</v>
      </c>
      <c r="Q355" s="19" t="n">
        <v>46152.8784722222</v>
      </c>
      <c r="R355" s="19" t="n">
        <v>46152.8791666667</v>
      </c>
      <c r="S355" s="20" t="n">
        <f aca="false">ROUND((Q355-P355)*24,4)</f>
        <v>0.0167</v>
      </c>
      <c r="T355" s="18" t="str">
        <f aca="false">TEXT(P355,"YYYY-MM")</f>
        <v>2026-05</v>
      </c>
      <c r="U355" s="18" t="n">
        <f aca="false">RANK(S355,$S$2:$S$670)+COUNTIF($S$2:S355,S355)-1</f>
        <v>641</v>
      </c>
      <c r="V355" s="20" t="n">
        <f aca="false">ROUND((R355-Q355)*24,4)</f>
        <v>0.0167</v>
      </c>
      <c r="W355" s="20" t="n">
        <f aca="false">ROUND((R355-P355)*24,4)</f>
        <v>0.0333</v>
      </c>
      <c r="X355" s="18" t="str">
        <f aca="false">TEXT(P355,"dddd")</f>
        <v>Sunday</v>
      </c>
      <c r="Y355" s="18" t="n">
        <f aca="false">HOUR(Q355)</f>
        <v>21</v>
      </c>
    </row>
    <row r="356" customFormat="false" ht="15" hidden="false" customHeight="false" outlineLevel="0" collapsed="false">
      <c r="A356" s="18" t="s">
        <v>31</v>
      </c>
      <c r="B356" s="18" t="s">
        <v>291</v>
      </c>
      <c r="C356" s="18" t="s">
        <v>292</v>
      </c>
      <c r="D356" s="18" t="s">
        <v>53</v>
      </c>
      <c r="E356" s="18" t="s">
        <v>168</v>
      </c>
      <c r="F356" s="18" t="n">
        <v>2603</v>
      </c>
      <c r="G356" s="18" t="s">
        <v>125</v>
      </c>
      <c r="H356" s="18" t="s">
        <v>280</v>
      </c>
      <c r="I356" s="18" t="s">
        <v>18</v>
      </c>
      <c r="J356" s="18" t="s">
        <v>12</v>
      </c>
      <c r="K356" s="18" t="s">
        <v>13</v>
      </c>
      <c r="L356" s="18" t="s">
        <v>144</v>
      </c>
      <c r="M356" s="18" t="s">
        <v>125</v>
      </c>
      <c r="N356" s="18" t="s">
        <v>125</v>
      </c>
      <c r="O356" s="18" t="s">
        <v>308</v>
      </c>
      <c r="P356" s="19" t="n">
        <v>46152.8798611111</v>
      </c>
      <c r="Q356" s="19" t="n">
        <v>46152.8805555556</v>
      </c>
      <c r="R356" s="19" t="n">
        <v>46152.88125</v>
      </c>
      <c r="S356" s="20" t="n">
        <f aca="false">ROUND((Q356-P356)*24,4)</f>
        <v>0.0167</v>
      </c>
      <c r="T356" s="18" t="str">
        <f aca="false">TEXT(P356,"YYYY-MM")</f>
        <v>2026-05</v>
      </c>
      <c r="U356" s="18" t="n">
        <f aca="false">RANK(S356,$S$2:$S$670)+COUNTIF($S$2:S356,S356)-1</f>
        <v>642</v>
      </c>
      <c r="V356" s="20" t="n">
        <f aca="false">ROUND((R356-Q356)*24,4)</f>
        <v>0.0167</v>
      </c>
      <c r="W356" s="20" t="n">
        <f aca="false">ROUND((R356-P356)*24,4)</f>
        <v>0.0333</v>
      </c>
      <c r="X356" s="18" t="str">
        <f aca="false">TEXT(P356,"dddd")</f>
        <v>Sunday</v>
      </c>
      <c r="Y356" s="18" t="n">
        <f aca="false">HOUR(Q356)</f>
        <v>21</v>
      </c>
    </row>
    <row r="357" customFormat="false" ht="15" hidden="false" customHeight="false" outlineLevel="0" collapsed="false">
      <c r="A357" s="18" t="s">
        <v>31</v>
      </c>
      <c r="B357" s="18" t="s">
        <v>291</v>
      </c>
      <c r="C357" s="18" t="s">
        <v>292</v>
      </c>
      <c r="D357" s="18" t="s">
        <v>53</v>
      </c>
      <c r="E357" s="18" t="s">
        <v>163</v>
      </c>
      <c r="F357" s="18" t="n">
        <v>2603</v>
      </c>
      <c r="G357" s="18" t="s">
        <v>125</v>
      </c>
      <c r="H357" s="18" t="s">
        <v>280</v>
      </c>
      <c r="I357" s="18" t="s">
        <v>24</v>
      </c>
      <c r="J357" s="18" t="s">
        <v>13</v>
      </c>
      <c r="K357" s="18" t="s">
        <v>165</v>
      </c>
      <c r="L357" s="18" t="s">
        <v>144</v>
      </c>
      <c r="M357" s="18" t="s">
        <v>125</v>
      </c>
      <c r="N357" s="18" t="s">
        <v>125</v>
      </c>
      <c r="O357" s="18" t="s">
        <v>308</v>
      </c>
      <c r="P357" s="19" t="n">
        <v>46152.8819444445</v>
      </c>
      <c r="Q357" s="19" t="n">
        <v>46152.8826388889</v>
      </c>
      <c r="R357" s="19" t="n">
        <v>46152.8833333333</v>
      </c>
      <c r="S357" s="20" t="n">
        <f aca="false">ROUND((Q357-P357)*24,4)</f>
        <v>0.0167</v>
      </c>
      <c r="T357" s="18" t="str">
        <f aca="false">TEXT(P357,"YYYY-MM")</f>
        <v>2026-05</v>
      </c>
      <c r="U357" s="18" t="n">
        <f aca="false">RANK(S357,$S$2:$S$670)+COUNTIF($S$2:S357,S357)-1</f>
        <v>643</v>
      </c>
      <c r="V357" s="20" t="n">
        <f aca="false">ROUND((R357-Q357)*24,4)</f>
        <v>0.0167</v>
      </c>
      <c r="W357" s="20" t="n">
        <f aca="false">ROUND((R357-P357)*24,4)</f>
        <v>0.0333</v>
      </c>
      <c r="X357" s="18" t="str">
        <f aca="false">TEXT(P357,"dddd")</f>
        <v>Sunday</v>
      </c>
      <c r="Y357" s="18" t="n">
        <f aca="false">HOUR(Q357)</f>
        <v>21</v>
      </c>
    </row>
    <row r="358" customFormat="false" ht="15" hidden="false" customHeight="false" outlineLevel="0" collapsed="false">
      <c r="A358" s="18" t="s">
        <v>35</v>
      </c>
      <c r="B358" s="18" t="s">
        <v>166</v>
      </c>
      <c r="C358" s="18" t="s">
        <v>167</v>
      </c>
      <c r="D358" s="18" t="s">
        <v>47</v>
      </c>
      <c r="E358" s="18" t="s">
        <v>198</v>
      </c>
      <c r="F358" s="18" t="n">
        <v>2605</v>
      </c>
      <c r="G358" s="18" t="s">
        <v>127</v>
      </c>
      <c r="H358" s="18" t="s">
        <v>304</v>
      </c>
      <c r="I358" s="18" t="s">
        <v>23</v>
      </c>
      <c r="J358" s="18" t="s">
        <v>13</v>
      </c>
      <c r="K358" s="18" t="s">
        <v>12</v>
      </c>
      <c r="L358" s="18" t="s">
        <v>125</v>
      </c>
      <c r="M358" s="18" t="s">
        <v>125</v>
      </c>
      <c r="N358" s="18" t="s">
        <v>144</v>
      </c>
      <c r="O358" s="18"/>
      <c r="P358" s="19" t="n">
        <v>46153.1666666667</v>
      </c>
      <c r="Q358" s="19" t="n">
        <v>46153.2083333333</v>
      </c>
      <c r="R358" s="19" t="n">
        <v>46153.5</v>
      </c>
      <c r="S358" s="20" t="n">
        <f aca="false">ROUND((Q358-P358)*24,4)</f>
        <v>1</v>
      </c>
      <c r="T358" s="18" t="str">
        <f aca="false">TEXT(P358,"YYYY-MM")</f>
        <v>2026-05</v>
      </c>
      <c r="U358" s="18" t="n">
        <f aca="false">RANK(S358,$S$2:$S$670)+COUNTIF($S$2:S358,S358)-1</f>
        <v>476</v>
      </c>
      <c r="V358" s="20" t="n">
        <f aca="false">ROUND((R358-Q358)*24,4)</f>
        <v>7</v>
      </c>
      <c r="W358" s="20" t="n">
        <f aca="false">ROUND((R358-P358)*24,4)</f>
        <v>8</v>
      </c>
      <c r="X358" s="18" t="str">
        <f aca="false">TEXT(P358,"dddd")</f>
        <v>Monday</v>
      </c>
      <c r="Y358" s="18" t="n">
        <f aca="false">HOUR(Q358)</f>
        <v>5</v>
      </c>
    </row>
    <row r="359" customFormat="false" ht="15" hidden="false" customHeight="false" outlineLevel="0" collapsed="false">
      <c r="A359" s="18" t="s">
        <v>35</v>
      </c>
      <c r="B359" s="18" t="s">
        <v>166</v>
      </c>
      <c r="C359" s="18" t="s">
        <v>167</v>
      </c>
      <c r="D359" s="18" t="s">
        <v>47</v>
      </c>
      <c r="E359" s="18" t="s">
        <v>168</v>
      </c>
      <c r="F359" s="18" t="n">
        <v>2605</v>
      </c>
      <c r="G359" s="18" t="s">
        <v>125</v>
      </c>
      <c r="H359" s="18" t="s">
        <v>305</v>
      </c>
      <c r="I359" s="18" t="s">
        <v>19</v>
      </c>
      <c r="J359" s="18" t="s">
        <v>12</v>
      </c>
      <c r="K359" s="18" t="s">
        <v>13</v>
      </c>
      <c r="L359" s="18" t="s">
        <v>125</v>
      </c>
      <c r="M359" s="18" t="s">
        <v>125</v>
      </c>
      <c r="N359" s="18" t="s">
        <v>125</v>
      </c>
      <c r="O359" s="18"/>
      <c r="P359" s="19" t="n">
        <v>46153.5833333333</v>
      </c>
      <c r="Q359" s="19" t="n">
        <v>46153.9375</v>
      </c>
      <c r="R359" s="19" t="n">
        <v>46155.875</v>
      </c>
      <c r="S359" s="20" t="n">
        <f aca="false">ROUND((Q359-P359)*24,4)</f>
        <v>8.5</v>
      </c>
      <c r="T359" s="18" t="str">
        <f aca="false">TEXT(P359,"YYYY-MM")</f>
        <v>2026-05</v>
      </c>
      <c r="U359" s="18" t="n">
        <f aca="false">RANK(S359,$S$2:$S$670)+COUNTIF($S$2:S359,S359)-1</f>
        <v>168</v>
      </c>
      <c r="V359" s="20" t="n">
        <f aca="false">ROUND((R359-Q359)*24,4)</f>
        <v>46.5</v>
      </c>
      <c r="W359" s="20" t="n">
        <f aca="false">ROUND((R359-P359)*24,4)</f>
        <v>55</v>
      </c>
      <c r="X359" s="18" t="str">
        <f aca="false">TEXT(P359,"dddd")</f>
        <v>Monday</v>
      </c>
      <c r="Y359" s="18" t="n">
        <f aca="false">HOUR(Q359)</f>
        <v>22</v>
      </c>
    </row>
    <row r="360" customFormat="false" ht="15" hidden="false" customHeight="false" outlineLevel="0" collapsed="false">
      <c r="A360" s="18" t="s">
        <v>37</v>
      </c>
      <c r="B360" s="18" t="s">
        <v>208</v>
      </c>
      <c r="C360" s="18" t="s">
        <v>209</v>
      </c>
      <c r="D360" s="18" t="s">
        <v>46</v>
      </c>
      <c r="E360" s="18" t="s">
        <v>163</v>
      </c>
      <c r="F360" s="18" t="n">
        <v>2604</v>
      </c>
      <c r="G360" s="18" t="s">
        <v>127</v>
      </c>
      <c r="H360" s="18" t="s">
        <v>293</v>
      </c>
      <c r="I360" s="18" t="s">
        <v>20</v>
      </c>
      <c r="J360" s="18" t="s">
        <v>13</v>
      </c>
      <c r="K360" s="18" t="s">
        <v>12</v>
      </c>
      <c r="L360" s="18" t="s">
        <v>125</v>
      </c>
      <c r="M360" s="18" t="s">
        <v>125</v>
      </c>
      <c r="N360" s="18" t="s">
        <v>125</v>
      </c>
      <c r="O360" s="18"/>
      <c r="P360" s="19" t="n">
        <v>46153.7708333333</v>
      </c>
      <c r="Q360" s="19" t="n">
        <v>46153.8125</v>
      </c>
      <c r="R360" s="19" t="n">
        <v>46154.25</v>
      </c>
      <c r="S360" s="20" t="n">
        <f aca="false">ROUND((Q360-P360)*24,4)</f>
        <v>1</v>
      </c>
      <c r="T360" s="18" t="str">
        <f aca="false">TEXT(P360,"YYYY-MM")</f>
        <v>2026-05</v>
      </c>
      <c r="U360" s="18" t="n">
        <f aca="false">RANK(S360,$S$2:$S$670)+COUNTIF($S$2:S360,S360)-1</f>
        <v>477</v>
      </c>
      <c r="V360" s="20" t="n">
        <f aca="false">ROUND((R360-Q360)*24,4)</f>
        <v>10.5</v>
      </c>
      <c r="W360" s="20" t="n">
        <f aca="false">ROUND((R360-P360)*24,4)</f>
        <v>11.5</v>
      </c>
      <c r="X360" s="18" t="str">
        <f aca="false">TEXT(P360,"dddd")</f>
        <v>Monday</v>
      </c>
      <c r="Y360" s="18" t="n">
        <f aca="false">HOUR(Q360)</f>
        <v>19</v>
      </c>
    </row>
    <row r="361" customFormat="false" ht="15" hidden="false" customHeight="false" outlineLevel="0" collapsed="false">
      <c r="A361" s="18" t="s">
        <v>37</v>
      </c>
      <c r="B361" s="18" t="s">
        <v>208</v>
      </c>
      <c r="C361" s="18" t="s">
        <v>209</v>
      </c>
      <c r="D361" s="18" t="s">
        <v>46</v>
      </c>
      <c r="E361" s="18" t="s">
        <v>176</v>
      </c>
      <c r="F361" s="18" t="n">
        <v>2604</v>
      </c>
      <c r="G361" s="18" t="s">
        <v>125</v>
      </c>
      <c r="H361" s="18" t="s">
        <v>294</v>
      </c>
      <c r="I361" s="18" t="s">
        <v>19</v>
      </c>
      <c r="J361" s="18" t="s">
        <v>12</v>
      </c>
      <c r="K361" s="18" t="s">
        <v>13</v>
      </c>
      <c r="L361" s="18" t="s">
        <v>125</v>
      </c>
      <c r="M361" s="18" t="s">
        <v>125</v>
      </c>
      <c r="N361" s="18" t="s">
        <v>125</v>
      </c>
      <c r="O361" s="18" t="s">
        <v>317</v>
      </c>
      <c r="P361" s="19" t="n">
        <v>46154.4166666667</v>
      </c>
      <c r="Q361" s="19" t="n">
        <v>46155.1666666667</v>
      </c>
      <c r="R361" s="19" t="n">
        <v>46156.625</v>
      </c>
      <c r="S361" s="20" t="n">
        <f aca="false">ROUND((Q361-P361)*24,4)</f>
        <v>18</v>
      </c>
      <c r="T361" s="18" t="str">
        <f aca="false">TEXT(P361,"YYYY-MM")</f>
        <v>2026-05</v>
      </c>
      <c r="U361" s="18" t="n">
        <f aca="false">RANK(S361,$S$2:$S$670)+COUNTIF($S$2:S361,S361)-1</f>
        <v>62</v>
      </c>
      <c r="V361" s="20" t="n">
        <f aca="false">ROUND((R361-Q361)*24,4)</f>
        <v>35</v>
      </c>
      <c r="W361" s="20" t="n">
        <f aca="false">ROUND((R361-P361)*24,4)</f>
        <v>53</v>
      </c>
      <c r="X361" s="18" t="str">
        <f aca="false">TEXT(P361,"dddd")</f>
        <v>Tuesday</v>
      </c>
      <c r="Y361" s="18" t="n">
        <f aca="false">HOUR(Q361)</f>
        <v>4</v>
      </c>
    </row>
    <row r="362" customFormat="false" ht="15" hidden="false" customHeight="false" outlineLevel="0" collapsed="false">
      <c r="A362" s="18" t="s">
        <v>36</v>
      </c>
      <c r="B362" s="18" t="s">
        <v>267</v>
      </c>
      <c r="C362" s="18" t="s">
        <v>268</v>
      </c>
      <c r="D362" s="18" t="s">
        <v>46</v>
      </c>
      <c r="E362" s="18" t="s">
        <v>168</v>
      </c>
      <c r="F362" s="18" t="n">
        <v>2609</v>
      </c>
      <c r="G362" s="18" t="s">
        <v>127</v>
      </c>
      <c r="H362" s="18" t="s">
        <v>318</v>
      </c>
      <c r="I362" s="18" t="s">
        <v>23</v>
      </c>
      <c r="J362" s="18" t="s">
        <v>13</v>
      </c>
      <c r="K362" s="18" t="s">
        <v>12</v>
      </c>
      <c r="L362" s="18" t="s">
        <v>125</v>
      </c>
      <c r="M362" s="18" t="s">
        <v>125</v>
      </c>
      <c r="N362" s="18" t="s">
        <v>125</v>
      </c>
      <c r="O362" s="18"/>
      <c r="P362" s="19" t="n">
        <v>46154.9166666667</v>
      </c>
      <c r="Q362" s="19" t="n">
        <v>46154.9583333333</v>
      </c>
      <c r="R362" s="19" t="n">
        <v>46155.375</v>
      </c>
      <c r="S362" s="20" t="n">
        <f aca="false">ROUND((Q362-P362)*24,4)</f>
        <v>1</v>
      </c>
      <c r="T362" s="18" t="str">
        <f aca="false">TEXT(P362,"YYYY-MM")</f>
        <v>2026-05</v>
      </c>
      <c r="U362" s="18" t="n">
        <f aca="false">RANK(S362,$S$2:$S$670)+COUNTIF($S$2:S362,S362)-1</f>
        <v>478</v>
      </c>
      <c r="V362" s="20" t="n">
        <f aca="false">ROUND((R362-Q362)*24,4)</f>
        <v>10</v>
      </c>
      <c r="W362" s="20" t="n">
        <f aca="false">ROUND((R362-P362)*24,4)</f>
        <v>11</v>
      </c>
      <c r="X362" s="18" t="str">
        <f aca="false">TEXT(P362,"dddd")</f>
        <v>Tuesday</v>
      </c>
      <c r="Y362" s="18" t="n">
        <f aca="false">HOUR(Q362)</f>
        <v>23</v>
      </c>
    </row>
    <row r="363" customFormat="false" ht="15" hidden="false" customHeight="false" outlineLevel="0" collapsed="false">
      <c r="A363" s="18" t="s">
        <v>36</v>
      </c>
      <c r="B363" s="18" t="s">
        <v>267</v>
      </c>
      <c r="C363" s="18" t="s">
        <v>268</v>
      </c>
      <c r="D363" s="18" t="s">
        <v>46</v>
      </c>
      <c r="E363" s="18" t="s">
        <v>163</v>
      </c>
      <c r="F363" s="18" t="n">
        <v>2609</v>
      </c>
      <c r="G363" s="18" t="s">
        <v>125</v>
      </c>
      <c r="H363" s="18" t="s">
        <v>319</v>
      </c>
      <c r="I363" s="18" t="s">
        <v>17</v>
      </c>
      <c r="J363" s="18" t="s">
        <v>12</v>
      </c>
      <c r="K363" s="18" t="s">
        <v>13</v>
      </c>
      <c r="L363" s="18" t="s">
        <v>125</v>
      </c>
      <c r="M363" s="18" t="s">
        <v>125</v>
      </c>
      <c r="N363" s="18" t="s">
        <v>125</v>
      </c>
      <c r="O363" s="18"/>
      <c r="P363" s="19" t="n">
        <v>46155.5833333333</v>
      </c>
      <c r="Q363" s="19" t="n">
        <v>46156.125</v>
      </c>
      <c r="R363" s="19" t="n">
        <v>46157.5833333333</v>
      </c>
      <c r="S363" s="20" t="n">
        <f aca="false">ROUND((Q363-P363)*24,4)</f>
        <v>13</v>
      </c>
      <c r="T363" s="18" t="str">
        <f aca="false">TEXT(P363,"YYYY-MM")</f>
        <v>2026-05</v>
      </c>
      <c r="U363" s="18" t="n">
        <f aca="false">RANK(S363,$S$2:$S$670)+COUNTIF($S$2:S363,S363)-1</f>
        <v>106</v>
      </c>
      <c r="V363" s="20" t="n">
        <f aca="false">ROUND((R363-Q363)*24,4)</f>
        <v>35</v>
      </c>
      <c r="W363" s="20" t="n">
        <f aca="false">ROUND((R363-P363)*24,4)</f>
        <v>48</v>
      </c>
      <c r="X363" s="18" t="str">
        <f aca="false">TEXT(P363,"dddd")</f>
        <v>Wednesday</v>
      </c>
      <c r="Y363" s="18" t="n">
        <f aca="false">HOUR(Q363)</f>
        <v>3</v>
      </c>
    </row>
    <row r="364" customFormat="false" ht="15" hidden="false" customHeight="false" outlineLevel="0" collapsed="false">
      <c r="A364" s="18" t="s">
        <v>35</v>
      </c>
      <c r="B364" s="18" t="s">
        <v>166</v>
      </c>
      <c r="C364" s="18" t="s">
        <v>167</v>
      </c>
      <c r="D364" s="18" t="s">
        <v>47</v>
      </c>
      <c r="E364" s="18" t="s">
        <v>163</v>
      </c>
      <c r="F364" s="18" t="n">
        <v>2605</v>
      </c>
      <c r="G364" s="18" t="s">
        <v>125</v>
      </c>
      <c r="H364" s="18" t="s">
        <v>305</v>
      </c>
      <c r="I364" s="18" t="s">
        <v>24</v>
      </c>
      <c r="J364" s="18" t="s">
        <v>13</v>
      </c>
      <c r="K364" s="18" t="s">
        <v>309</v>
      </c>
      <c r="L364" s="18" t="s">
        <v>125</v>
      </c>
      <c r="M364" s="18" t="s">
        <v>144</v>
      </c>
      <c r="N364" s="18" t="s">
        <v>125</v>
      </c>
      <c r="O364" s="18"/>
      <c r="P364" s="19" t="n">
        <v>46156</v>
      </c>
      <c r="Q364" s="19" t="n">
        <v>46156.7083333333</v>
      </c>
      <c r="R364" s="19" t="n">
        <v>46157.2708333333</v>
      </c>
      <c r="S364" s="20" t="n">
        <f aca="false">ROUND((Q364-P364)*24,4)</f>
        <v>17</v>
      </c>
      <c r="T364" s="18" t="str">
        <f aca="false">TEXT(P364,"YYYY-MM")</f>
        <v>2026-05</v>
      </c>
      <c r="U364" s="18" t="n">
        <f aca="false">RANK(S364,$S$2:$S$670)+COUNTIF($S$2:S364,S364)-1</f>
        <v>68</v>
      </c>
      <c r="V364" s="20" t="n">
        <f aca="false">ROUND((R364-Q364)*24,4)</f>
        <v>13.5</v>
      </c>
      <c r="W364" s="20" t="n">
        <f aca="false">ROUND((R364-P364)*24,4)</f>
        <v>30.5</v>
      </c>
      <c r="X364" s="18" t="str">
        <f aca="false">TEXT(P364,"dddd")</f>
        <v>Thursday</v>
      </c>
      <c r="Y364" s="18" t="n">
        <f aca="false">HOUR(Q364)</f>
        <v>17</v>
      </c>
    </row>
    <row r="365" customFormat="false" ht="15" hidden="false" customHeight="false" outlineLevel="0" collapsed="false">
      <c r="A365" s="18" t="s">
        <v>32</v>
      </c>
      <c r="B365" s="18" t="s">
        <v>225</v>
      </c>
      <c r="C365" s="18" t="s">
        <v>226</v>
      </c>
      <c r="D365" s="18" t="s">
        <v>47</v>
      </c>
      <c r="E365" s="18" t="s">
        <v>168</v>
      </c>
      <c r="F365" s="18" t="n">
        <v>2606</v>
      </c>
      <c r="G365" s="18" t="s">
        <v>127</v>
      </c>
      <c r="H365" s="18" t="s">
        <v>269</v>
      </c>
      <c r="I365" s="18" t="s">
        <v>23</v>
      </c>
      <c r="J365" s="18" t="s">
        <v>13</v>
      </c>
      <c r="K365" s="18" t="s">
        <v>12</v>
      </c>
      <c r="L365" s="18" t="s">
        <v>125</v>
      </c>
      <c r="M365" s="18" t="s">
        <v>125</v>
      </c>
      <c r="N365" s="18" t="s">
        <v>125</v>
      </c>
      <c r="O365" s="18"/>
      <c r="P365" s="19" t="n">
        <v>46156.4583333333</v>
      </c>
      <c r="Q365" s="19" t="n">
        <v>46156.5</v>
      </c>
      <c r="R365" s="19" t="n">
        <v>46156.7916666667</v>
      </c>
      <c r="S365" s="20" t="n">
        <f aca="false">ROUND((Q365-P365)*24,4)</f>
        <v>1</v>
      </c>
      <c r="T365" s="18" t="str">
        <f aca="false">TEXT(P365,"YYYY-MM")</f>
        <v>2026-05</v>
      </c>
      <c r="U365" s="18" t="n">
        <f aca="false">RANK(S365,$S$2:$S$670)+COUNTIF($S$2:S365,S365)-1</f>
        <v>479</v>
      </c>
      <c r="V365" s="20" t="n">
        <f aca="false">ROUND((R365-Q365)*24,4)</f>
        <v>7</v>
      </c>
      <c r="W365" s="20" t="n">
        <f aca="false">ROUND((R365-P365)*24,4)</f>
        <v>8</v>
      </c>
      <c r="X365" s="18" t="str">
        <f aca="false">TEXT(P365,"dddd")</f>
        <v>Thursday</v>
      </c>
      <c r="Y365" s="18" t="n">
        <f aca="false">HOUR(Q365)</f>
        <v>12</v>
      </c>
    </row>
    <row r="366" customFormat="false" ht="15" hidden="false" customHeight="false" outlineLevel="0" collapsed="false">
      <c r="A366" s="18" t="s">
        <v>37</v>
      </c>
      <c r="B366" s="18" t="s">
        <v>208</v>
      </c>
      <c r="C366" s="18" t="s">
        <v>209</v>
      </c>
      <c r="D366" s="18" t="s">
        <v>46</v>
      </c>
      <c r="E366" s="18" t="s">
        <v>185</v>
      </c>
      <c r="F366" s="18" t="n">
        <v>2604</v>
      </c>
      <c r="G366" s="18" t="s">
        <v>125</v>
      </c>
      <c r="H366" s="18" t="s">
        <v>294</v>
      </c>
      <c r="I366" s="18" t="s">
        <v>20</v>
      </c>
      <c r="J366" s="18" t="s">
        <v>13</v>
      </c>
      <c r="K366" s="18" t="s">
        <v>309</v>
      </c>
      <c r="L366" s="18" t="s">
        <v>125</v>
      </c>
      <c r="M366" s="18" t="s">
        <v>125</v>
      </c>
      <c r="N366" s="18" t="s">
        <v>125</v>
      </c>
      <c r="O366" s="18" t="s">
        <v>317</v>
      </c>
      <c r="P366" s="19" t="n">
        <v>46156.8333333333</v>
      </c>
      <c r="Q366" s="19" t="n">
        <v>46157.75</v>
      </c>
      <c r="R366" s="19" t="n">
        <v>46158.375</v>
      </c>
      <c r="S366" s="20" t="n">
        <f aca="false">ROUND((Q366-P366)*24,4)</f>
        <v>22</v>
      </c>
      <c r="T366" s="18" t="str">
        <f aca="false">TEXT(P366,"YYYY-MM")</f>
        <v>2026-05</v>
      </c>
      <c r="U366" s="18" t="n">
        <f aca="false">RANK(S366,$S$2:$S$670)+COUNTIF($S$2:S366,S366)-1</f>
        <v>38</v>
      </c>
      <c r="V366" s="20" t="n">
        <f aca="false">ROUND((R366-Q366)*24,4)</f>
        <v>15</v>
      </c>
      <c r="W366" s="20" t="n">
        <f aca="false">ROUND((R366-P366)*24,4)</f>
        <v>37</v>
      </c>
      <c r="X366" s="18" t="str">
        <f aca="false">TEXT(P366,"dddd")</f>
        <v>Thursday</v>
      </c>
      <c r="Y366" s="18" t="n">
        <f aca="false">HOUR(Q366)</f>
        <v>18</v>
      </c>
    </row>
    <row r="367" customFormat="false" ht="15" hidden="false" customHeight="false" outlineLevel="0" collapsed="false">
      <c r="A367" s="18" t="s">
        <v>32</v>
      </c>
      <c r="B367" s="18" t="s">
        <v>225</v>
      </c>
      <c r="C367" s="18" t="s">
        <v>226</v>
      </c>
      <c r="D367" s="18" t="s">
        <v>47</v>
      </c>
      <c r="E367" s="18" t="s">
        <v>163</v>
      </c>
      <c r="F367" s="18" t="n">
        <v>2606</v>
      </c>
      <c r="G367" s="18" t="s">
        <v>125</v>
      </c>
      <c r="H367" s="18" t="s">
        <v>270</v>
      </c>
      <c r="I367" s="18" t="s">
        <v>17</v>
      </c>
      <c r="J367" s="18" t="s">
        <v>12</v>
      </c>
      <c r="K367" s="18" t="s">
        <v>13</v>
      </c>
      <c r="L367" s="18" t="s">
        <v>125</v>
      </c>
      <c r="M367" s="18" t="s">
        <v>125</v>
      </c>
      <c r="N367" s="18" t="s">
        <v>125</v>
      </c>
      <c r="O367" s="18"/>
      <c r="P367" s="19" t="n">
        <v>46156.875</v>
      </c>
      <c r="Q367" s="19" t="n">
        <v>46157.7083333333</v>
      </c>
      <c r="R367" s="19" t="n">
        <v>46158.9930555556</v>
      </c>
      <c r="S367" s="20" t="n">
        <f aca="false">ROUND((Q367-P367)*24,4)</f>
        <v>20</v>
      </c>
      <c r="T367" s="18" t="str">
        <f aca="false">TEXT(P367,"YYYY-MM")</f>
        <v>2026-05</v>
      </c>
      <c r="U367" s="18" t="n">
        <f aca="false">RANK(S367,$S$2:$S$670)+COUNTIF($S$2:S367,S367)-1</f>
        <v>47</v>
      </c>
      <c r="V367" s="20" t="n">
        <f aca="false">ROUND((R367-Q367)*24,4)</f>
        <v>30.8333</v>
      </c>
      <c r="W367" s="20" t="n">
        <f aca="false">ROUND((R367-P367)*24,4)</f>
        <v>50.8333</v>
      </c>
      <c r="X367" s="18" t="str">
        <f aca="false">TEXT(P367,"dddd")</f>
        <v>Thursday</v>
      </c>
      <c r="Y367" s="18" t="n">
        <f aca="false">HOUR(Q367)</f>
        <v>17</v>
      </c>
    </row>
    <row r="368" customFormat="false" ht="15" hidden="false" customHeight="false" outlineLevel="0" collapsed="false">
      <c r="A368" s="18" t="s">
        <v>38</v>
      </c>
      <c r="B368" s="18" t="s">
        <v>255</v>
      </c>
      <c r="C368" s="18" t="s">
        <v>256</v>
      </c>
      <c r="D368" s="18" t="s">
        <v>46</v>
      </c>
      <c r="E368" s="18" t="s">
        <v>163</v>
      </c>
      <c r="F368" s="18" t="n">
        <v>2604</v>
      </c>
      <c r="G368" s="18" t="s">
        <v>127</v>
      </c>
      <c r="H368" s="18" t="s">
        <v>293</v>
      </c>
      <c r="I368" s="18" t="s">
        <v>23</v>
      </c>
      <c r="J368" s="18" t="s">
        <v>13</v>
      </c>
      <c r="K368" s="18" t="s">
        <v>181</v>
      </c>
      <c r="L368" s="18" t="s">
        <v>125</v>
      </c>
      <c r="M368" s="18" t="s">
        <v>125</v>
      </c>
      <c r="N368" s="18" t="s">
        <v>125</v>
      </c>
      <c r="O368" s="18"/>
      <c r="P368" s="19" t="n">
        <v>46157.0833333333</v>
      </c>
      <c r="Q368" s="19" t="n">
        <v>46157.2875</v>
      </c>
      <c r="R368" s="19" t="n">
        <v>46158.1416666667</v>
      </c>
      <c r="S368" s="20" t="n">
        <f aca="false">ROUND((Q368-P368)*24,4)</f>
        <v>4.9</v>
      </c>
      <c r="T368" s="18" t="str">
        <f aca="false">TEXT(P368,"YYYY-MM")</f>
        <v>2026-05</v>
      </c>
      <c r="U368" s="18" t="n">
        <f aca="false">RANK(S368,$S$2:$S$670)+COUNTIF($S$2:S368,S368)-1</f>
        <v>240</v>
      </c>
      <c r="V368" s="20" t="n">
        <f aca="false">ROUND((R368-Q368)*24,4)</f>
        <v>20.5</v>
      </c>
      <c r="W368" s="20" t="n">
        <f aca="false">ROUND((R368-P368)*24,4)</f>
        <v>25.4</v>
      </c>
      <c r="X368" s="18" t="str">
        <f aca="false">TEXT(P368,"dddd")</f>
        <v>Friday</v>
      </c>
      <c r="Y368" s="18" t="n">
        <f aca="false">HOUR(Q368)</f>
        <v>6</v>
      </c>
    </row>
    <row r="369" customFormat="false" ht="15" hidden="false" customHeight="false" outlineLevel="0" collapsed="false">
      <c r="A369" s="18" t="s">
        <v>33</v>
      </c>
      <c r="B369" s="18" t="s">
        <v>194</v>
      </c>
      <c r="C369" s="18" t="s">
        <v>195</v>
      </c>
      <c r="D369" s="18" t="s">
        <v>46</v>
      </c>
      <c r="E369" s="18" t="s">
        <v>163</v>
      </c>
      <c r="F369" s="18" t="n">
        <v>2605</v>
      </c>
      <c r="G369" s="18" t="s">
        <v>127</v>
      </c>
      <c r="H369" s="18" t="s">
        <v>304</v>
      </c>
      <c r="I369" s="18" t="s">
        <v>23</v>
      </c>
      <c r="J369" s="18" t="s">
        <v>13</v>
      </c>
      <c r="K369" s="18" t="s">
        <v>12</v>
      </c>
      <c r="L369" s="18" t="s">
        <v>125</v>
      </c>
      <c r="M369" s="18" t="s">
        <v>125</v>
      </c>
      <c r="N369" s="18" t="s">
        <v>144</v>
      </c>
      <c r="O369" s="18"/>
      <c r="P369" s="19" t="n">
        <v>46157.4583333333</v>
      </c>
      <c r="Q369" s="19" t="n">
        <v>46157.5</v>
      </c>
      <c r="R369" s="19" t="n">
        <v>46157.8333333333</v>
      </c>
      <c r="S369" s="20" t="n">
        <f aca="false">ROUND((Q369-P369)*24,4)</f>
        <v>1</v>
      </c>
      <c r="T369" s="18" t="str">
        <f aca="false">TEXT(P369,"YYYY-MM")</f>
        <v>2026-05</v>
      </c>
      <c r="U369" s="18" t="n">
        <f aca="false">RANK(S369,$S$2:$S$670)+COUNTIF($S$2:S369,S369)-1</f>
        <v>480</v>
      </c>
      <c r="V369" s="20" t="n">
        <f aca="false">ROUND((R369-Q369)*24,4)</f>
        <v>8</v>
      </c>
      <c r="W369" s="20" t="n">
        <f aca="false">ROUND((R369-P369)*24,4)</f>
        <v>9</v>
      </c>
      <c r="X369" s="18" t="str">
        <f aca="false">TEXT(P369,"dddd")</f>
        <v>Friday</v>
      </c>
      <c r="Y369" s="18" t="n">
        <f aca="false">HOUR(Q369)</f>
        <v>12</v>
      </c>
    </row>
    <row r="370" customFormat="false" ht="15" hidden="false" customHeight="false" outlineLevel="0" collapsed="false">
      <c r="A370" s="18" t="s">
        <v>33</v>
      </c>
      <c r="B370" s="18" t="s">
        <v>194</v>
      </c>
      <c r="C370" s="18" t="s">
        <v>195</v>
      </c>
      <c r="D370" s="18" t="s">
        <v>46</v>
      </c>
      <c r="E370" s="18" t="s">
        <v>176</v>
      </c>
      <c r="F370" s="18" t="n">
        <v>2605</v>
      </c>
      <c r="G370" s="18" t="s">
        <v>125</v>
      </c>
      <c r="H370" s="18" t="s">
        <v>305</v>
      </c>
      <c r="I370" s="18" t="s">
        <v>18</v>
      </c>
      <c r="J370" s="18" t="s">
        <v>12</v>
      </c>
      <c r="K370" s="18" t="s">
        <v>13</v>
      </c>
      <c r="L370" s="18" t="s">
        <v>125</v>
      </c>
      <c r="M370" s="18" t="s">
        <v>125</v>
      </c>
      <c r="N370" s="18" t="s">
        <v>125</v>
      </c>
      <c r="O370" s="18"/>
      <c r="P370" s="19" t="n">
        <v>46157.9166666667</v>
      </c>
      <c r="Q370" s="19" t="n">
        <v>46157.9791666667</v>
      </c>
      <c r="R370" s="19" t="n">
        <v>46158.6666666667</v>
      </c>
      <c r="S370" s="20" t="n">
        <f aca="false">ROUND((Q370-P370)*24,4)</f>
        <v>1.5</v>
      </c>
      <c r="T370" s="18" t="str">
        <f aca="false">TEXT(P370,"YYYY-MM")</f>
        <v>2026-05</v>
      </c>
      <c r="U370" s="18" t="n">
        <f aca="false">RANK(S370,$S$2:$S$670)+COUNTIF($S$2:S370,S370)-1</f>
        <v>358</v>
      </c>
      <c r="V370" s="20" t="n">
        <f aca="false">ROUND((R370-Q370)*24,4)</f>
        <v>16.5</v>
      </c>
      <c r="W370" s="20" t="n">
        <f aca="false">ROUND((R370-P370)*24,4)</f>
        <v>18</v>
      </c>
      <c r="X370" s="18" t="str">
        <f aca="false">TEXT(P370,"dddd")</f>
        <v>Friday</v>
      </c>
      <c r="Y370" s="18" t="n">
        <f aca="false">HOUR(Q370)</f>
        <v>23</v>
      </c>
    </row>
    <row r="371" customFormat="false" ht="15" hidden="false" customHeight="false" outlineLevel="0" collapsed="false">
      <c r="A371" s="18" t="s">
        <v>36</v>
      </c>
      <c r="B371" s="18" t="s">
        <v>267</v>
      </c>
      <c r="C371" s="18" t="s">
        <v>268</v>
      </c>
      <c r="D371" s="18" t="s">
        <v>46</v>
      </c>
      <c r="E371" s="18" t="s">
        <v>176</v>
      </c>
      <c r="F371" s="18" t="n">
        <v>2609</v>
      </c>
      <c r="G371" s="18" t="s">
        <v>125</v>
      </c>
      <c r="H371" s="18" t="s">
        <v>319</v>
      </c>
      <c r="I371" s="18" t="s">
        <v>23</v>
      </c>
      <c r="J371" s="18" t="s">
        <v>13</v>
      </c>
      <c r="K371" s="18" t="s">
        <v>303</v>
      </c>
      <c r="L371" s="18" t="s">
        <v>125</v>
      </c>
      <c r="M371" s="18" t="s">
        <v>125</v>
      </c>
      <c r="N371" s="18" t="s">
        <v>125</v>
      </c>
      <c r="O371" s="18"/>
      <c r="P371" s="19" t="n">
        <v>46158.5</v>
      </c>
      <c r="Q371" s="19" t="n">
        <v>46158.7125</v>
      </c>
      <c r="R371" s="19" t="n">
        <v>46159.0833333333</v>
      </c>
      <c r="S371" s="20" t="n">
        <f aca="false">ROUND((Q371-P371)*24,4)</f>
        <v>5.1</v>
      </c>
      <c r="T371" s="18" t="str">
        <f aca="false">TEXT(P371,"YYYY-MM")</f>
        <v>2026-05</v>
      </c>
      <c r="U371" s="18" t="n">
        <f aca="false">RANK(S371,$S$2:$S$670)+COUNTIF($S$2:S371,S371)-1</f>
        <v>222</v>
      </c>
      <c r="V371" s="20" t="n">
        <f aca="false">ROUND((R371-Q371)*24,4)</f>
        <v>8.9</v>
      </c>
      <c r="W371" s="20" t="n">
        <f aca="false">ROUND((R371-P371)*24,4)</f>
        <v>14</v>
      </c>
      <c r="X371" s="18" t="str">
        <f aca="false">TEXT(P371,"dddd")</f>
        <v>Saturday</v>
      </c>
      <c r="Y371" s="18" t="n">
        <f aca="false">HOUR(Q371)</f>
        <v>17</v>
      </c>
    </row>
    <row r="372" customFormat="false" ht="15" hidden="false" customHeight="false" outlineLevel="0" collapsed="false">
      <c r="A372" s="18" t="s">
        <v>32</v>
      </c>
      <c r="B372" s="18" t="s">
        <v>225</v>
      </c>
      <c r="C372" s="18" t="s">
        <v>226</v>
      </c>
      <c r="D372" s="18" t="s">
        <v>47</v>
      </c>
      <c r="E372" s="18" t="s">
        <v>176</v>
      </c>
      <c r="F372" s="18" t="n">
        <v>2606</v>
      </c>
      <c r="G372" s="18" t="s">
        <v>125</v>
      </c>
      <c r="H372" s="18" t="s">
        <v>270</v>
      </c>
      <c r="I372" s="18" t="s">
        <v>23</v>
      </c>
      <c r="J372" s="18" t="s">
        <v>13</v>
      </c>
      <c r="K372" s="18" t="s">
        <v>309</v>
      </c>
      <c r="L372" s="18" t="s">
        <v>125</v>
      </c>
      <c r="M372" s="18" t="s">
        <v>125</v>
      </c>
      <c r="N372" s="18" t="s">
        <v>125</v>
      </c>
      <c r="O372" s="18"/>
      <c r="P372" s="19" t="n">
        <v>46159.2083333333</v>
      </c>
      <c r="Q372" s="19" t="n">
        <v>46159.7916666667</v>
      </c>
      <c r="R372" s="19" t="n">
        <v>46160.2083333333</v>
      </c>
      <c r="S372" s="20" t="n">
        <f aca="false">ROUND((Q372-P372)*24,4)</f>
        <v>14</v>
      </c>
      <c r="T372" s="18" t="str">
        <f aca="false">TEXT(P372,"YYYY-MM")</f>
        <v>2026-05</v>
      </c>
      <c r="U372" s="18" t="n">
        <f aca="false">RANK(S372,$S$2:$S$670)+COUNTIF($S$2:S372,S372)-1</f>
        <v>96</v>
      </c>
      <c r="V372" s="20" t="n">
        <f aca="false">ROUND((R372-Q372)*24,4)</f>
        <v>10</v>
      </c>
      <c r="W372" s="20" t="n">
        <f aca="false">ROUND((R372-P372)*24,4)</f>
        <v>24</v>
      </c>
      <c r="X372" s="18" t="str">
        <f aca="false">TEXT(P372,"dddd")</f>
        <v>Sunday</v>
      </c>
      <c r="Y372" s="18" t="n">
        <f aca="false">HOUR(Q372)</f>
        <v>19</v>
      </c>
    </row>
    <row r="373" customFormat="false" ht="15" hidden="false" customHeight="false" outlineLevel="0" collapsed="false">
      <c r="A373" s="18" t="s">
        <v>33</v>
      </c>
      <c r="B373" s="18" t="s">
        <v>194</v>
      </c>
      <c r="C373" s="18" t="s">
        <v>195</v>
      </c>
      <c r="D373" s="18" t="s">
        <v>46</v>
      </c>
      <c r="E373" s="18" t="s">
        <v>185</v>
      </c>
      <c r="F373" s="18" t="n">
        <v>2605</v>
      </c>
      <c r="G373" s="18" t="s">
        <v>125</v>
      </c>
      <c r="H373" s="18" t="s">
        <v>305</v>
      </c>
      <c r="I373" s="18" t="s">
        <v>23</v>
      </c>
      <c r="J373" s="18" t="s">
        <v>13</v>
      </c>
      <c r="K373" s="18" t="s">
        <v>165</v>
      </c>
      <c r="L373" s="18" t="s">
        <v>125</v>
      </c>
      <c r="M373" s="18" t="s">
        <v>144</v>
      </c>
      <c r="N373" s="18" t="s">
        <v>125</v>
      </c>
      <c r="O373" s="18"/>
      <c r="P373" s="19" t="n">
        <v>46159.375</v>
      </c>
      <c r="Q373" s="19" t="n">
        <v>46159.4166666667</v>
      </c>
      <c r="R373" s="19" t="n">
        <v>46159.75</v>
      </c>
      <c r="S373" s="20" t="n">
        <f aca="false">ROUND((Q373-P373)*24,4)</f>
        <v>1</v>
      </c>
      <c r="T373" s="18" t="str">
        <f aca="false">TEXT(P373,"YYYY-MM")</f>
        <v>2026-05</v>
      </c>
      <c r="U373" s="18" t="n">
        <f aca="false">RANK(S373,$S$2:$S$670)+COUNTIF($S$2:S373,S373)-1</f>
        <v>481</v>
      </c>
      <c r="V373" s="20" t="n">
        <f aca="false">ROUND((R373-Q373)*24,4)</f>
        <v>8</v>
      </c>
      <c r="W373" s="20" t="n">
        <f aca="false">ROUND((R373-P373)*24,4)</f>
        <v>9</v>
      </c>
      <c r="X373" s="18" t="str">
        <f aca="false">TEXT(P373,"dddd")</f>
        <v>Sunday</v>
      </c>
      <c r="Y373" s="18" t="n">
        <f aca="false">HOUR(Q373)</f>
        <v>10</v>
      </c>
    </row>
    <row r="374" customFormat="false" ht="15" hidden="false" customHeight="false" outlineLevel="0" collapsed="false">
      <c r="A374" s="18" t="s">
        <v>31</v>
      </c>
      <c r="B374" s="18" t="s">
        <v>312</v>
      </c>
      <c r="C374" s="18" t="s">
        <v>313</v>
      </c>
      <c r="D374" s="18" t="s">
        <v>47</v>
      </c>
      <c r="E374" s="18" t="s">
        <v>198</v>
      </c>
      <c r="F374" s="18" t="n">
        <v>2606</v>
      </c>
      <c r="G374" s="18" t="s">
        <v>127</v>
      </c>
      <c r="H374" s="18" t="s">
        <v>269</v>
      </c>
      <c r="I374" s="18" t="s">
        <v>24</v>
      </c>
      <c r="J374" s="18" t="s">
        <v>13</v>
      </c>
      <c r="K374" s="18" t="s">
        <v>12</v>
      </c>
      <c r="L374" s="18" t="s">
        <v>144</v>
      </c>
      <c r="M374" s="18" t="s">
        <v>125</v>
      </c>
      <c r="N374" s="18" t="s">
        <v>125</v>
      </c>
      <c r="O374" s="18" t="s">
        <v>314</v>
      </c>
      <c r="P374" s="19" t="n">
        <v>46160.4277777778</v>
      </c>
      <c r="Q374" s="19" t="n">
        <v>46160.4284722222</v>
      </c>
      <c r="R374" s="19" t="n">
        <v>46160.4291666667</v>
      </c>
      <c r="S374" s="20" t="n">
        <f aca="false">ROUND((Q374-P374)*24,4)</f>
        <v>0.0167</v>
      </c>
      <c r="T374" s="18" t="str">
        <f aca="false">TEXT(P374,"YYYY-MM")</f>
        <v>2026-05</v>
      </c>
      <c r="U374" s="18" t="n">
        <f aca="false">RANK(S374,$S$2:$S$670)+COUNTIF($S$2:S374,S374)-1</f>
        <v>644</v>
      </c>
      <c r="V374" s="20" t="n">
        <f aca="false">ROUND((R374-Q374)*24,4)</f>
        <v>0.0167</v>
      </c>
      <c r="W374" s="20" t="n">
        <f aca="false">ROUND((R374-P374)*24,4)</f>
        <v>0.0333</v>
      </c>
      <c r="X374" s="18" t="str">
        <f aca="false">TEXT(P374,"dddd")</f>
        <v>Monday</v>
      </c>
      <c r="Y374" s="18" t="n">
        <f aca="false">HOUR(Q374)</f>
        <v>10</v>
      </c>
    </row>
    <row r="375" customFormat="false" ht="15" hidden="false" customHeight="false" outlineLevel="0" collapsed="false">
      <c r="A375" s="18" t="s">
        <v>31</v>
      </c>
      <c r="B375" s="18" t="s">
        <v>312</v>
      </c>
      <c r="C375" s="18" t="s">
        <v>313</v>
      </c>
      <c r="D375" s="18" t="s">
        <v>47</v>
      </c>
      <c r="E375" s="18" t="s">
        <v>168</v>
      </c>
      <c r="F375" s="18" t="n">
        <v>2606</v>
      </c>
      <c r="G375" s="18" t="s">
        <v>125</v>
      </c>
      <c r="H375" s="18" t="s">
        <v>270</v>
      </c>
      <c r="I375" s="18" t="s">
        <v>18</v>
      </c>
      <c r="J375" s="18" t="s">
        <v>12</v>
      </c>
      <c r="K375" s="18" t="s">
        <v>13</v>
      </c>
      <c r="L375" s="18" t="s">
        <v>144</v>
      </c>
      <c r="M375" s="18" t="s">
        <v>125</v>
      </c>
      <c r="N375" s="18" t="s">
        <v>125</v>
      </c>
      <c r="O375" s="18" t="s">
        <v>314</v>
      </c>
      <c r="P375" s="19" t="n">
        <v>46160.4298611111</v>
      </c>
      <c r="Q375" s="19" t="n">
        <v>46160.4305555556</v>
      </c>
      <c r="R375" s="19" t="n">
        <v>46160.43125</v>
      </c>
      <c r="S375" s="20" t="n">
        <f aca="false">ROUND((Q375-P375)*24,4)</f>
        <v>0.0167</v>
      </c>
      <c r="T375" s="18" t="str">
        <f aca="false">TEXT(P375,"YYYY-MM")</f>
        <v>2026-05</v>
      </c>
      <c r="U375" s="18" t="n">
        <f aca="false">RANK(S375,$S$2:$S$670)+COUNTIF($S$2:S375,S375)-1</f>
        <v>645</v>
      </c>
      <c r="V375" s="20" t="n">
        <f aca="false">ROUND((R375-Q375)*24,4)</f>
        <v>0.0167</v>
      </c>
      <c r="W375" s="20" t="n">
        <f aca="false">ROUND((R375-P375)*24,4)</f>
        <v>0.0333</v>
      </c>
      <c r="X375" s="18" t="str">
        <f aca="false">TEXT(P375,"dddd")</f>
        <v>Monday</v>
      </c>
      <c r="Y375" s="18" t="n">
        <f aca="false">HOUR(Q375)</f>
        <v>10</v>
      </c>
    </row>
    <row r="376" customFormat="false" ht="15" hidden="false" customHeight="false" outlineLevel="0" collapsed="false">
      <c r="A376" s="18" t="s">
        <v>31</v>
      </c>
      <c r="B376" s="18" t="s">
        <v>312</v>
      </c>
      <c r="C376" s="18" t="s">
        <v>313</v>
      </c>
      <c r="D376" s="18" t="s">
        <v>47</v>
      </c>
      <c r="E376" s="18" t="s">
        <v>163</v>
      </c>
      <c r="F376" s="18" t="n">
        <v>2606</v>
      </c>
      <c r="G376" s="18" t="s">
        <v>125</v>
      </c>
      <c r="H376" s="18" t="s">
        <v>270</v>
      </c>
      <c r="I376" s="18" t="s">
        <v>24</v>
      </c>
      <c r="J376" s="18" t="s">
        <v>13</v>
      </c>
      <c r="K376" s="18" t="s">
        <v>165</v>
      </c>
      <c r="L376" s="18" t="s">
        <v>144</v>
      </c>
      <c r="M376" s="18" t="s">
        <v>125</v>
      </c>
      <c r="N376" s="18" t="s">
        <v>125</v>
      </c>
      <c r="O376" s="18" t="s">
        <v>314</v>
      </c>
      <c r="P376" s="19" t="n">
        <v>46160.4319444444</v>
      </c>
      <c r="Q376" s="19" t="n">
        <v>46160.4326388889</v>
      </c>
      <c r="R376" s="19" t="n">
        <v>46160.4333333333</v>
      </c>
      <c r="S376" s="20" t="n">
        <f aca="false">ROUND((Q376-P376)*24,4)</f>
        <v>0.0167</v>
      </c>
      <c r="T376" s="18" t="str">
        <f aca="false">TEXT(P376,"YYYY-MM")</f>
        <v>2026-05</v>
      </c>
      <c r="U376" s="18" t="n">
        <f aca="false">RANK(S376,$S$2:$S$670)+COUNTIF($S$2:S376,S376)-1</f>
        <v>646</v>
      </c>
      <c r="V376" s="20" t="n">
        <f aca="false">ROUND((R376-Q376)*24,4)</f>
        <v>0.0167</v>
      </c>
      <c r="W376" s="20" t="n">
        <f aca="false">ROUND((R376-P376)*24,4)</f>
        <v>0.0333</v>
      </c>
      <c r="X376" s="18" t="str">
        <f aca="false">TEXT(P376,"dddd")</f>
        <v>Monday</v>
      </c>
      <c r="Y376" s="18" t="n">
        <f aca="false">HOUR(Q376)</f>
        <v>10</v>
      </c>
    </row>
    <row r="377" customFormat="false" ht="15" hidden="false" customHeight="false" outlineLevel="0" collapsed="false">
      <c r="A377" s="18" t="s">
        <v>34</v>
      </c>
      <c r="B377" s="18" t="s">
        <v>233</v>
      </c>
      <c r="C377" s="18" t="s">
        <v>234</v>
      </c>
      <c r="D377" s="18" t="s">
        <v>46</v>
      </c>
      <c r="E377" s="18" t="s">
        <v>163</v>
      </c>
      <c r="F377" s="18" t="n">
        <v>2605</v>
      </c>
      <c r="G377" s="18" t="s">
        <v>127</v>
      </c>
      <c r="H377" s="18" t="s">
        <v>304</v>
      </c>
      <c r="I377" s="18" t="s">
        <v>23</v>
      </c>
      <c r="J377" s="18" t="s">
        <v>13</v>
      </c>
      <c r="K377" s="18" t="s">
        <v>12</v>
      </c>
      <c r="L377" s="18" t="s">
        <v>125</v>
      </c>
      <c r="M377" s="18" t="s">
        <v>125</v>
      </c>
      <c r="N377" s="18" t="s">
        <v>125</v>
      </c>
      <c r="O377" s="18"/>
      <c r="P377" s="19" t="n">
        <v>46160.6666666667</v>
      </c>
      <c r="Q377" s="19" t="n">
        <v>46160.7083333333</v>
      </c>
      <c r="R377" s="19" t="n">
        <v>46161.0416666667</v>
      </c>
      <c r="S377" s="20" t="n">
        <f aca="false">ROUND((Q377-P377)*24,4)</f>
        <v>1</v>
      </c>
      <c r="T377" s="18" t="str">
        <f aca="false">TEXT(P377,"YYYY-MM")</f>
        <v>2026-05</v>
      </c>
      <c r="U377" s="18" t="n">
        <f aca="false">RANK(S377,$S$2:$S$670)+COUNTIF($S$2:S377,S377)-1</f>
        <v>482</v>
      </c>
      <c r="V377" s="20" t="n">
        <f aca="false">ROUND((R377-Q377)*24,4)</f>
        <v>8</v>
      </c>
      <c r="W377" s="20" t="n">
        <f aca="false">ROUND((R377-P377)*24,4)</f>
        <v>9</v>
      </c>
      <c r="X377" s="18" t="str">
        <f aca="false">TEXT(P377,"dddd")</f>
        <v>Monday</v>
      </c>
      <c r="Y377" s="18" t="n">
        <f aca="false">HOUR(Q377)</f>
        <v>17</v>
      </c>
    </row>
    <row r="378" customFormat="false" ht="15" hidden="false" customHeight="false" outlineLevel="0" collapsed="false">
      <c r="A378" s="18" t="s">
        <v>34</v>
      </c>
      <c r="B378" s="18" t="s">
        <v>233</v>
      </c>
      <c r="C378" s="18" t="s">
        <v>234</v>
      </c>
      <c r="D378" s="18" t="s">
        <v>46</v>
      </c>
      <c r="E378" s="18" t="s">
        <v>176</v>
      </c>
      <c r="F378" s="18" t="n">
        <v>2605</v>
      </c>
      <c r="G378" s="18" t="s">
        <v>125</v>
      </c>
      <c r="H378" s="18" t="s">
        <v>305</v>
      </c>
      <c r="I378" s="18" t="s">
        <v>17</v>
      </c>
      <c r="J378" s="18" t="s">
        <v>12</v>
      </c>
      <c r="K378" s="18" t="s">
        <v>13</v>
      </c>
      <c r="L378" s="18" t="s">
        <v>125</v>
      </c>
      <c r="M378" s="18" t="s">
        <v>125</v>
      </c>
      <c r="N378" s="18" t="s">
        <v>125</v>
      </c>
      <c r="O378" s="18"/>
      <c r="P378" s="19" t="n">
        <v>46161.125</v>
      </c>
      <c r="Q378" s="19" t="n">
        <v>46161.25</v>
      </c>
      <c r="R378" s="19" t="n">
        <v>46162.75</v>
      </c>
      <c r="S378" s="20" t="n">
        <f aca="false">ROUND((Q378-P378)*24,4)</f>
        <v>3</v>
      </c>
      <c r="T378" s="18" t="str">
        <f aca="false">TEXT(P378,"YYYY-MM")</f>
        <v>2026-05</v>
      </c>
      <c r="U378" s="18" t="n">
        <f aca="false">RANK(S378,$S$2:$S$670)+COUNTIF($S$2:S378,S378)-1</f>
        <v>287</v>
      </c>
      <c r="V378" s="20" t="n">
        <f aca="false">ROUND((R378-Q378)*24,4)</f>
        <v>36</v>
      </c>
      <c r="W378" s="20" t="n">
        <f aca="false">ROUND((R378-P378)*24,4)</f>
        <v>39</v>
      </c>
      <c r="X378" s="18" t="str">
        <f aca="false">TEXT(P378,"dddd")</f>
        <v>Tuesday</v>
      </c>
      <c r="Y378" s="18" t="n">
        <f aca="false">HOUR(Q378)</f>
        <v>6</v>
      </c>
    </row>
    <row r="379" customFormat="false" ht="15" hidden="false" customHeight="false" outlineLevel="0" collapsed="false">
      <c r="A379" s="18" t="s">
        <v>37</v>
      </c>
      <c r="B379" s="18" t="s">
        <v>242</v>
      </c>
      <c r="C379" s="18" t="s">
        <v>243</v>
      </c>
      <c r="D379" s="18" t="s">
        <v>46</v>
      </c>
      <c r="E379" s="18" t="s">
        <v>163</v>
      </c>
      <c r="F379" s="18" t="n">
        <v>2605</v>
      </c>
      <c r="G379" s="18" t="s">
        <v>127</v>
      </c>
      <c r="H379" s="18" t="s">
        <v>304</v>
      </c>
      <c r="I379" s="18" t="s">
        <v>20</v>
      </c>
      <c r="J379" s="18" t="s">
        <v>13</v>
      </c>
      <c r="K379" s="18" t="s">
        <v>12</v>
      </c>
      <c r="L379" s="18" t="s">
        <v>125</v>
      </c>
      <c r="M379" s="18" t="s">
        <v>125</v>
      </c>
      <c r="N379" s="18" t="s">
        <v>125</v>
      </c>
      <c r="O379" s="18"/>
      <c r="P379" s="19" t="n">
        <v>46161.8333333333</v>
      </c>
      <c r="Q379" s="19" t="n">
        <v>46161.8333333333</v>
      </c>
      <c r="R379" s="19" t="n">
        <v>46162.2083333333</v>
      </c>
      <c r="S379" s="20" t="n">
        <f aca="false">ROUND((Q379-P379)*24,4)</f>
        <v>0</v>
      </c>
      <c r="T379" s="18" t="str">
        <f aca="false">TEXT(P379,"YYYY-MM")</f>
        <v>2026-05</v>
      </c>
      <c r="U379" s="18" t="n">
        <f aca="false">RANK(S379,$S$2:$S$670)+COUNTIF($S$2:S379,S379)-1</f>
        <v>666</v>
      </c>
      <c r="V379" s="20" t="n">
        <f aca="false">ROUND((R379-Q379)*24,4)</f>
        <v>9</v>
      </c>
      <c r="W379" s="20" t="n">
        <f aca="false">ROUND((R379-P379)*24,4)</f>
        <v>9</v>
      </c>
      <c r="X379" s="18" t="str">
        <f aca="false">TEXT(P379,"dddd")</f>
        <v>Tuesday</v>
      </c>
      <c r="Y379" s="18" t="n">
        <f aca="false">HOUR(Q379)</f>
        <v>20</v>
      </c>
    </row>
    <row r="380" customFormat="false" ht="15" hidden="false" customHeight="false" outlineLevel="0" collapsed="false">
      <c r="A380" s="18" t="s">
        <v>37</v>
      </c>
      <c r="B380" s="18" t="s">
        <v>242</v>
      </c>
      <c r="C380" s="18" t="s">
        <v>243</v>
      </c>
      <c r="D380" s="18" t="s">
        <v>46</v>
      </c>
      <c r="E380" s="18" t="s">
        <v>176</v>
      </c>
      <c r="F380" s="18" t="n">
        <v>2605</v>
      </c>
      <c r="G380" s="18" t="s">
        <v>125</v>
      </c>
      <c r="H380" s="18" t="s">
        <v>305</v>
      </c>
      <c r="I380" s="18" t="s">
        <v>19</v>
      </c>
      <c r="J380" s="18" t="s">
        <v>12</v>
      </c>
      <c r="K380" s="18" t="s">
        <v>13</v>
      </c>
      <c r="L380" s="18" t="s">
        <v>125</v>
      </c>
      <c r="M380" s="18" t="s">
        <v>125</v>
      </c>
      <c r="N380" s="18" t="s">
        <v>125</v>
      </c>
      <c r="O380" s="18" t="s">
        <v>317</v>
      </c>
      <c r="P380" s="19" t="n">
        <v>46162.2916666667</v>
      </c>
      <c r="Q380" s="19" t="n">
        <v>46162.8958333333</v>
      </c>
      <c r="R380" s="19" t="n">
        <v>46164.7708333333</v>
      </c>
      <c r="S380" s="20" t="n">
        <f aca="false">ROUND((Q380-P380)*24,4)</f>
        <v>14.5</v>
      </c>
      <c r="T380" s="18" t="str">
        <f aca="false">TEXT(P380,"YYYY-MM")</f>
        <v>2026-05</v>
      </c>
      <c r="U380" s="18" t="n">
        <f aca="false">RANK(S380,$S$2:$S$670)+COUNTIF($S$2:S380,S380)-1</f>
        <v>88</v>
      </c>
      <c r="V380" s="20" t="n">
        <f aca="false">ROUND((R380-Q380)*24,4)</f>
        <v>45</v>
      </c>
      <c r="W380" s="20" t="n">
        <f aca="false">ROUND((R380-P380)*24,4)</f>
        <v>59.5</v>
      </c>
      <c r="X380" s="18" t="str">
        <f aca="false">TEXT(P380,"dddd")</f>
        <v>Wednesday</v>
      </c>
      <c r="Y380" s="18" t="n">
        <f aca="false">HOUR(Q380)</f>
        <v>21</v>
      </c>
    </row>
    <row r="381" customFormat="false" ht="15" hidden="false" customHeight="false" outlineLevel="0" collapsed="false">
      <c r="A381" s="18" t="s">
        <v>34</v>
      </c>
      <c r="B381" s="18" t="s">
        <v>233</v>
      </c>
      <c r="C381" s="18" t="s">
        <v>234</v>
      </c>
      <c r="D381" s="18" t="s">
        <v>46</v>
      </c>
      <c r="E381" s="18" t="s">
        <v>185</v>
      </c>
      <c r="F381" s="18" t="n">
        <v>2605</v>
      </c>
      <c r="G381" s="18" t="s">
        <v>125</v>
      </c>
      <c r="H381" s="18" t="s">
        <v>305</v>
      </c>
      <c r="I381" s="18" t="s">
        <v>23</v>
      </c>
      <c r="J381" s="18" t="s">
        <v>13</v>
      </c>
      <c r="K381" s="18" t="s">
        <v>165</v>
      </c>
      <c r="L381" s="18" t="s">
        <v>125</v>
      </c>
      <c r="M381" s="18" t="s">
        <v>125</v>
      </c>
      <c r="N381" s="18" t="s">
        <v>125</v>
      </c>
      <c r="O381" s="18"/>
      <c r="P381" s="19" t="n">
        <v>46162.9583333333</v>
      </c>
      <c r="Q381" s="19" t="n">
        <v>46163.75</v>
      </c>
      <c r="R381" s="19" t="n">
        <v>46164.0833333333</v>
      </c>
      <c r="S381" s="20" t="n">
        <f aca="false">ROUND((Q381-P381)*24,4)</f>
        <v>19</v>
      </c>
      <c r="T381" s="18" t="str">
        <f aca="false">TEXT(P381,"YYYY-MM")</f>
        <v>2026-05</v>
      </c>
      <c r="U381" s="18" t="n">
        <f aca="false">RANK(S381,$S$2:$S$670)+COUNTIF($S$2:S381,S381)-1</f>
        <v>54</v>
      </c>
      <c r="V381" s="20" t="n">
        <f aca="false">ROUND((R381-Q381)*24,4)</f>
        <v>8</v>
      </c>
      <c r="W381" s="20" t="n">
        <f aca="false">ROUND((R381-P381)*24,4)</f>
        <v>27</v>
      </c>
      <c r="X381" s="18" t="str">
        <f aca="false">TEXT(P381,"dddd")</f>
        <v>Wednesday</v>
      </c>
      <c r="Y381" s="18" t="n">
        <f aca="false">HOUR(Q381)</f>
        <v>18</v>
      </c>
    </row>
    <row r="382" customFormat="false" ht="15" hidden="false" customHeight="false" outlineLevel="0" collapsed="false">
      <c r="A382" s="18" t="s">
        <v>36</v>
      </c>
      <c r="B382" s="18" t="s">
        <v>306</v>
      </c>
      <c r="C382" s="18" t="s">
        <v>307</v>
      </c>
      <c r="D382" s="18" t="s">
        <v>47</v>
      </c>
      <c r="E382" s="18" t="s">
        <v>168</v>
      </c>
      <c r="F382" s="18" t="n">
        <v>2606</v>
      </c>
      <c r="G382" s="18" t="s">
        <v>127</v>
      </c>
      <c r="H382" s="18" t="s">
        <v>269</v>
      </c>
      <c r="I382" s="18" t="s">
        <v>23</v>
      </c>
      <c r="J382" s="18" t="s">
        <v>13</v>
      </c>
      <c r="K382" s="18" t="s">
        <v>12</v>
      </c>
      <c r="L382" s="18" t="s">
        <v>125</v>
      </c>
      <c r="M382" s="18" t="s">
        <v>125</v>
      </c>
      <c r="N382" s="18" t="s">
        <v>125</v>
      </c>
      <c r="O382" s="18"/>
      <c r="P382" s="19" t="n">
        <v>46163.0833333333</v>
      </c>
      <c r="Q382" s="19" t="n">
        <v>46163.125</v>
      </c>
      <c r="R382" s="19" t="n">
        <v>46163.5833333333</v>
      </c>
      <c r="S382" s="20" t="n">
        <f aca="false">ROUND((Q382-P382)*24,4)</f>
        <v>1</v>
      </c>
      <c r="T382" s="18" t="str">
        <f aca="false">TEXT(P382,"YYYY-MM")</f>
        <v>2026-05</v>
      </c>
      <c r="U382" s="18" t="n">
        <f aca="false">RANK(S382,$S$2:$S$670)+COUNTIF($S$2:S382,S382)-1</f>
        <v>483</v>
      </c>
      <c r="V382" s="20" t="n">
        <f aca="false">ROUND((R382-Q382)*24,4)</f>
        <v>11</v>
      </c>
      <c r="W382" s="20" t="n">
        <f aca="false">ROUND((R382-P382)*24,4)</f>
        <v>12</v>
      </c>
      <c r="X382" s="18" t="str">
        <f aca="false">TEXT(P382,"dddd")</f>
        <v>Thursday</v>
      </c>
      <c r="Y382" s="18" t="n">
        <f aca="false">HOUR(Q382)</f>
        <v>3</v>
      </c>
    </row>
    <row r="383" customFormat="false" ht="15" hidden="false" customHeight="false" outlineLevel="0" collapsed="false">
      <c r="A383" s="18" t="s">
        <v>33</v>
      </c>
      <c r="B383" s="18" t="s">
        <v>246</v>
      </c>
      <c r="C383" s="18" t="s">
        <v>247</v>
      </c>
      <c r="D383" s="18" t="s">
        <v>51</v>
      </c>
      <c r="E383" s="18" t="s">
        <v>163</v>
      </c>
      <c r="F383" s="18" t="n">
        <v>146</v>
      </c>
      <c r="G383" s="18" t="s">
        <v>127</v>
      </c>
      <c r="H383" s="18" t="s">
        <v>320</v>
      </c>
      <c r="I383" s="18" t="s">
        <v>23</v>
      </c>
      <c r="J383" s="18" t="s">
        <v>13</v>
      </c>
      <c r="K383" s="18" t="s">
        <v>165</v>
      </c>
      <c r="L383" s="18" t="s">
        <v>144</v>
      </c>
      <c r="M383" s="18" t="s">
        <v>125</v>
      </c>
      <c r="N383" s="18" t="s">
        <v>125</v>
      </c>
      <c r="O383" s="18" t="s">
        <v>249</v>
      </c>
      <c r="P383" s="19" t="n">
        <v>46163.2715277778</v>
      </c>
      <c r="Q383" s="19" t="n">
        <v>46163.2722222222</v>
      </c>
      <c r="R383" s="19" t="n">
        <v>46163.2729166667</v>
      </c>
      <c r="S383" s="20" t="n">
        <f aca="false">ROUND((Q383-P383)*24,4)</f>
        <v>0.0167</v>
      </c>
      <c r="T383" s="18" t="str">
        <f aca="false">TEXT(P383,"YYYY-MM")</f>
        <v>2026-05</v>
      </c>
      <c r="U383" s="18" t="n">
        <f aca="false">RANK(S383,$S$2:$S$670)+COUNTIF($S$2:S383,S383)-1</f>
        <v>647</v>
      </c>
      <c r="V383" s="20" t="n">
        <f aca="false">ROUND((R383-Q383)*24,4)</f>
        <v>0.0167</v>
      </c>
      <c r="W383" s="20" t="n">
        <f aca="false">ROUND((R383-P383)*24,4)</f>
        <v>0.0333</v>
      </c>
      <c r="X383" s="18" t="str">
        <f aca="false">TEXT(P383,"dddd")</f>
        <v>Thursday</v>
      </c>
      <c r="Y383" s="18" t="n">
        <f aca="false">HOUR(Q383)</f>
        <v>6</v>
      </c>
    </row>
    <row r="384" customFormat="false" ht="15" hidden="false" customHeight="false" outlineLevel="0" collapsed="false">
      <c r="A384" s="18" t="s">
        <v>33</v>
      </c>
      <c r="B384" s="18" t="s">
        <v>246</v>
      </c>
      <c r="C384" s="18" t="s">
        <v>247</v>
      </c>
      <c r="D384" s="18" t="s">
        <v>51</v>
      </c>
      <c r="E384" s="18" t="s">
        <v>176</v>
      </c>
      <c r="F384" s="18" t="n">
        <v>146</v>
      </c>
      <c r="G384" s="18" t="s">
        <v>125</v>
      </c>
      <c r="H384" s="18" t="s">
        <v>321</v>
      </c>
      <c r="I384" s="18" t="s">
        <v>18</v>
      </c>
      <c r="J384" s="18" t="s">
        <v>12</v>
      </c>
      <c r="K384" s="18" t="s">
        <v>13</v>
      </c>
      <c r="L384" s="18" t="s">
        <v>144</v>
      </c>
      <c r="M384" s="18" t="s">
        <v>125</v>
      </c>
      <c r="N384" s="18" t="s">
        <v>125</v>
      </c>
      <c r="O384" s="18" t="s">
        <v>249</v>
      </c>
      <c r="P384" s="19" t="n">
        <v>46163.2736111111</v>
      </c>
      <c r="Q384" s="19" t="n">
        <v>46163.2743055556</v>
      </c>
      <c r="R384" s="19" t="n">
        <v>46163.275</v>
      </c>
      <c r="S384" s="20" t="n">
        <f aca="false">ROUND((Q384-P384)*24,4)</f>
        <v>0.0167</v>
      </c>
      <c r="T384" s="18" t="str">
        <f aca="false">TEXT(P384,"YYYY-MM")</f>
        <v>2026-05</v>
      </c>
      <c r="U384" s="18" t="n">
        <f aca="false">RANK(S384,$S$2:$S$670)+COUNTIF($S$2:S384,S384)-1</f>
        <v>648</v>
      </c>
      <c r="V384" s="20" t="n">
        <f aca="false">ROUND((R384-Q384)*24,4)</f>
        <v>0.0167</v>
      </c>
      <c r="W384" s="20" t="n">
        <f aca="false">ROUND((R384-P384)*24,4)</f>
        <v>0.0333</v>
      </c>
      <c r="X384" s="18" t="str">
        <f aca="false">TEXT(P384,"dddd")</f>
        <v>Thursday</v>
      </c>
      <c r="Y384" s="18" t="n">
        <f aca="false">HOUR(Q384)</f>
        <v>6</v>
      </c>
    </row>
    <row r="385" customFormat="false" ht="15" hidden="false" customHeight="false" outlineLevel="0" collapsed="false">
      <c r="A385" s="18" t="s">
        <v>36</v>
      </c>
      <c r="B385" s="18" t="s">
        <v>306</v>
      </c>
      <c r="C385" s="18" t="s">
        <v>307</v>
      </c>
      <c r="D385" s="18" t="s">
        <v>47</v>
      </c>
      <c r="E385" s="18" t="s">
        <v>163</v>
      </c>
      <c r="F385" s="18" t="n">
        <v>2606</v>
      </c>
      <c r="G385" s="18" t="s">
        <v>125</v>
      </c>
      <c r="H385" s="18" t="s">
        <v>270</v>
      </c>
      <c r="I385" s="18" t="s">
        <v>17</v>
      </c>
      <c r="J385" s="18" t="s">
        <v>12</v>
      </c>
      <c r="K385" s="18" t="s">
        <v>13</v>
      </c>
      <c r="L385" s="18" t="s">
        <v>125</v>
      </c>
      <c r="M385" s="18" t="s">
        <v>125</v>
      </c>
      <c r="N385" s="18" t="s">
        <v>125</v>
      </c>
      <c r="O385" s="18"/>
      <c r="P385" s="19" t="n">
        <v>46163.6666666667</v>
      </c>
      <c r="Q385" s="19" t="n">
        <v>46163.9375</v>
      </c>
      <c r="R385" s="19" t="n">
        <v>46165.7916666667</v>
      </c>
      <c r="S385" s="20" t="n">
        <f aca="false">ROUND((Q385-P385)*24,4)</f>
        <v>6.5</v>
      </c>
      <c r="T385" s="18" t="str">
        <f aca="false">TEXT(P385,"YYYY-MM")</f>
        <v>2026-05</v>
      </c>
      <c r="U385" s="18" t="n">
        <f aca="false">RANK(S385,$S$2:$S$670)+COUNTIF($S$2:S385,S385)-1</f>
        <v>203</v>
      </c>
      <c r="V385" s="20" t="n">
        <f aca="false">ROUND((R385-Q385)*24,4)</f>
        <v>44.5</v>
      </c>
      <c r="W385" s="20" t="n">
        <f aca="false">ROUND((R385-P385)*24,4)</f>
        <v>51</v>
      </c>
      <c r="X385" s="18" t="str">
        <f aca="false">TEXT(P385,"dddd")</f>
        <v>Thursday</v>
      </c>
      <c r="Y385" s="18" t="n">
        <f aca="false">HOUR(Q385)</f>
        <v>22</v>
      </c>
    </row>
    <row r="386" customFormat="false" ht="15" hidden="false" customHeight="false" outlineLevel="0" collapsed="false">
      <c r="A386" s="18" t="s">
        <v>34</v>
      </c>
      <c r="B386" s="18" t="s">
        <v>240</v>
      </c>
      <c r="C386" s="18" t="s">
        <v>241</v>
      </c>
      <c r="D386" s="18" t="s">
        <v>50</v>
      </c>
      <c r="E386" s="18" t="s">
        <v>163</v>
      </c>
      <c r="F386" s="18" t="n">
        <v>2606</v>
      </c>
      <c r="G386" s="18" t="s">
        <v>127</v>
      </c>
      <c r="H386" s="18" t="s">
        <v>269</v>
      </c>
      <c r="I386" s="18" t="s">
        <v>26</v>
      </c>
      <c r="J386" s="18" t="s">
        <v>13</v>
      </c>
      <c r="K386" s="18" t="s">
        <v>12</v>
      </c>
      <c r="L386" s="18" t="s">
        <v>125</v>
      </c>
      <c r="M386" s="18" t="s">
        <v>125</v>
      </c>
      <c r="N386" s="18" t="s">
        <v>125</v>
      </c>
      <c r="O386" s="18"/>
      <c r="P386" s="19" t="n">
        <v>46164</v>
      </c>
      <c r="Q386" s="19" t="n">
        <v>46164.0416666667</v>
      </c>
      <c r="R386" s="19" t="n">
        <v>46164.3333333333</v>
      </c>
      <c r="S386" s="20" t="n">
        <f aca="false">ROUND((Q386-P386)*24,4)</f>
        <v>1</v>
      </c>
      <c r="T386" s="18" t="str">
        <f aca="false">TEXT(P386,"YYYY-MM")</f>
        <v>2026-05</v>
      </c>
      <c r="U386" s="18" t="n">
        <f aca="false">RANK(S386,$S$2:$S$670)+COUNTIF($S$2:S386,S386)-1</f>
        <v>484</v>
      </c>
      <c r="V386" s="20" t="n">
        <f aca="false">ROUND((R386-Q386)*24,4)</f>
        <v>7</v>
      </c>
      <c r="W386" s="20" t="n">
        <f aca="false">ROUND((R386-P386)*24,4)</f>
        <v>8</v>
      </c>
      <c r="X386" s="18" t="str">
        <f aca="false">TEXT(P386,"dddd")</f>
        <v>Friday</v>
      </c>
      <c r="Y386" s="18" t="n">
        <f aca="false">HOUR(Q386)</f>
        <v>1</v>
      </c>
    </row>
    <row r="387" customFormat="false" ht="15" hidden="false" customHeight="false" outlineLevel="0" collapsed="false">
      <c r="A387" s="18" t="s">
        <v>34</v>
      </c>
      <c r="B387" s="18" t="s">
        <v>240</v>
      </c>
      <c r="C387" s="18" t="s">
        <v>241</v>
      </c>
      <c r="D387" s="18" t="s">
        <v>50</v>
      </c>
      <c r="E387" s="18" t="s">
        <v>176</v>
      </c>
      <c r="F387" s="18" t="n">
        <v>2606</v>
      </c>
      <c r="G387" s="18" t="s">
        <v>125</v>
      </c>
      <c r="H387" s="18" t="s">
        <v>270</v>
      </c>
      <c r="I387" s="18" t="s">
        <v>17</v>
      </c>
      <c r="J387" s="18" t="s">
        <v>12</v>
      </c>
      <c r="K387" s="18" t="s">
        <v>13</v>
      </c>
      <c r="L387" s="18" t="s">
        <v>125</v>
      </c>
      <c r="M387" s="18" t="s">
        <v>125</v>
      </c>
      <c r="N387" s="18" t="s">
        <v>125</v>
      </c>
      <c r="O387" s="18"/>
      <c r="P387" s="19" t="n">
        <v>46164.4166666667</v>
      </c>
      <c r="Q387" s="19" t="n">
        <v>46165.0416666667</v>
      </c>
      <c r="R387" s="19" t="n">
        <v>46166.85</v>
      </c>
      <c r="S387" s="20" t="n">
        <f aca="false">ROUND((Q387-P387)*24,4)</f>
        <v>15</v>
      </c>
      <c r="T387" s="18" t="str">
        <f aca="false">TEXT(P387,"YYYY-MM")</f>
        <v>2026-05</v>
      </c>
      <c r="U387" s="18" t="n">
        <f aca="false">RANK(S387,$S$2:$S$670)+COUNTIF($S$2:S387,S387)-1</f>
        <v>82</v>
      </c>
      <c r="V387" s="20" t="n">
        <f aca="false">ROUND((R387-Q387)*24,4)</f>
        <v>43.4</v>
      </c>
      <c r="W387" s="20" t="n">
        <f aca="false">ROUND((R387-P387)*24,4)</f>
        <v>58.4</v>
      </c>
      <c r="X387" s="18" t="str">
        <f aca="false">TEXT(P387,"dddd")</f>
        <v>Friday</v>
      </c>
      <c r="Y387" s="18" t="n">
        <f aca="false">HOUR(Q387)</f>
        <v>1</v>
      </c>
    </row>
    <row r="388" customFormat="false" ht="15" hidden="false" customHeight="false" outlineLevel="0" collapsed="false">
      <c r="A388" s="18" t="s">
        <v>37</v>
      </c>
      <c r="B388" s="18" t="s">
        <v>242</v>
      </c>
      <c r="C388" s="18" t="s">
        <v>243</v>
      </c>
      <c r="D388" s="18" t="s">
        <v>46</v>
      </c>
      <c r="E388" s="18" t="s">
        <v>185</v>
      </c>
      <c r="F388" s="18" t="n">
        <v>2605</v>
      </c>
      <c r="G388" s="18" t="s">
        <v>125</v>
      </c>
      <c r="H388" s="18" t="s">
        <v>305</v>
      </c>
      <c r="I388" s="18" t="s">
        <v>20</v>
      </c>
      <c r="J388" s="18" t="s">
        <v>13</v>
      </c>
      <c r="K388" s="18" t="s">
        <v>309</v>
      </c>
      <c r="L388" s="18" t="s">
        <v>125</v>
      </c>
      <c r="M388" s="18" t="s">
        <v>125</v>
      </c>
      <c r="N388" s="18" t="s">
        <v>125</v>
      </c>
      <c r="O388" s="18" t="s">
        <v>317</v>
      </c>
      <c r="P388" s="19" t="n">
        <v>46164.9791666667</v>
      </c>
      <c r="Q388" s="19" t="n">
        <v>46165.0208333333</v>
      </c>
      <c r="R388" s="19" t="n">
        <v>46165.6666666667</v>
      </c>
      <c r="S388" s="20" t="n">
        <f aca="false">ROUND((Q388-P388)*24,4)</f>
        <v>1</v>
      </c>
      <c r="T388" s="18" t="str">
        <f aca="false">TEXT(P388,"YYYY-MM")</f>
        <v>2026-05</v>
      </c>
      <c r="U388" s="18" t="n">
        <f aca="false">RANK(S388,$S$2:$S$670)+COUNTIF($S$2:S388,S388)-1</f>
        <v>485</v>
      </c>
      <c r="V388" s="20" t="n">
        <f aca="false">ROUND((R388-Q388)*24,4)</f>
        <v>15.5</v>
      </c>
      <c r="W388" s="20" t="n">
        <f aca="false">ROUND((R388-P388)*24,4)</f>
        <v>16.5</v>
      </c>
      <c r="X388" s="18" t="str">
        <f aca="false">TEXT(P388,"dddd")</f>
        <v>Friday</v>
      </c>
      <c r="Y388" s="18" t="n">
        <f aca="false">HOUR(Q388)</f>
        <v>0</v>
      </c>
    </row>
    <row r="389" customFormat="false" ht="15" hidden="false" customHeight="false" outlineLevel="0" collapsed="false">
      <c r="A389" s="18" t="s">
        <v>36</v>
      </c>
      <c r="B389" s="18" t="s">
        <v>306</v>
      </c>
      <c r="C389" s="18" t="s">
        <v>307</v>
      </c>
      <c r="D389" s="18" t="s">
        <v>47</v>
      </c>
      <c r="E389" s="18" t="s">
        <v>176</v>
      </c>
      <c r="F389" s="18" t="n">
        <v>2606</v>
      </c>
      <c r="G389" s="18" t="s">
        <v>125</v>
      </c>
      <c r="H389" s="18" t="s">
        <v>270</v>
      </c>
      <c r="I389" s="18" t="s">
        <v>23</v>
      </c>
      <c r="J389" s="18" t="s">
        <v>13</v>
      </c>
      <c r="K389" s="18" t="s">
        <v>303</v>
      </c>
      <c r="L389" s="18" t="s">
        <v>125</v>
      </c>
      <c r="M389" s="18" t="s">
        <v>125</v>
      </c>
      <c r="N389" s="18" t="s">
        <v>125</v>
      </c>
      <c r="O389" s="18"/>
      <c r="P389" s="19" t="n">
        <v>46166</v>
      </c>
      <c r="Q389" s="19" t="n">
        <v>46166.0416666667</v>
      </c>
      <c r="R389" s="19" t="n">
        <v>46166.5833333333</v>
      </c>
      <c r="S389" s="20" t="n">
        <f aca="false">ROUND((Q389-P389)*24,4)</f>
        <v>1</v>
      </c>
      <c r="T389" s="18" t="str">
        <f aca="false">TEXT(P389,"YYYY-MM")</f>
        <v>2026-05</v>
      </c>
      <c r="U389" s="18" t="n">
        <f aca="false">RANK(S389,$S$2:$S$670)+COUNTIF($S$2:S389,S389)-1</f>
        <v>486</v>
      </c>
      <c r="V389" s="20" t="n">
        <f aca="false">ROUND((R389-Q389)*24,4)</f>
        <v>13</v>
      </c>
      <c r="W389" s="20" t="n">
        <f aca="false">ROUND((R389-P389)*24,4)</f>
        <v>14</v>
      </c>
      <c r="X389" s="18" t="str">
        <f aca="false">TEXT(P389,"dddd")</f>
        <v>Sunday</v>
      </c>
      <c r="Y389" s="18" t="n">
        <f aca="false">HOUR(Q389)</f>
        <v>1</v>
      </c>
    </row>
    <row r="390" customFormat="false" ht="15" hidden="false" customHeight="false" outlineLevel="0" collapsed="false">
      <c r="A390" s="18" t="s">
        <v>31</v>
      </c>
      <c r="B390" s="18" t="s">
        <v>236</v>
      </c>
      <c r="C390" s="18" t="s">
        <v>237</v>
      </c>
      <c r="D390" s="18" t="s">
        <v>46</v>
      </c>
      <c r="E390" s="18" t="s">
        <v>198</v>
      </c>
      <c r="F390" s="18" t="n">
        <v>2604</v>
      </c>
      <c r="G390" s="18" t="s">
        <v>127</v>
      </c>
      <c r="H390" s="18" t="s">
        <v>293</v>
      </c>
      <c r="I390" s="18" t="s">
        <v>24</v>
      </c>
      <c r="J390" s="18" t="s">
        <v>13</v>
      </c>
      <c r="K390" s="18" t="s">
        <v>12</v>
      </c>
      <c r="L390" s="18" t="s">
        <v>125</v>
      </c>
      <c r="M390" s="18" t="s">
        <v>125</v>
      </c>
      <c r="N390" s="18" t="s">
        <v>125</v>
      </c>
      <c r="O390" s="18"/>
      <c r="P390" s="19" t="n">
        <v>46166</v>
      </c>
      <c r="Q390" s="19" t="n">
        <v>46166.0416666667</v>
      </c>
      <c r="R390" s="19" t="n">
        <v>46166.5</v>
      </c>
      <c r="S390" s="20" t="n">
        <f aca="false">ROUND((Q390-P390)*24,4)</f>
        <v>1</v>
      </c>
      <c r="T390" s="18" t="str">
        <f aca="false">TEXT(P390,"YYYY-MM")</f>
        <v>2026-05</v>
      </c>
      <c r="U390" s="18" t="n">
        <f aca="false">RANK(S390,$S$2:$S$670)+COUNTIF($S$2:S390,S390)-1</f>
        <v>487</v>
      </c>
      <c r="V390" s="20" t="n">
        <f aca="false">ROUND((R390-Q390)*24,4)</f>
        <v>11</v>
      </c>
      <c r="W390" s="20" t="n">
        <f aca="false">ROUND((R390-P390)*24,4)</f>
        <v>12</v>
      </c>
      <c r="X390" s="18" t="str">
        <f aca="false">TEXT(P390,"dddd")</f>
        <v>Sunday</v>
      </c>
      <c r="Y390" s="18" t="n">
        <f aca="false">HOUR(Q390)</f>
        <v>1</v>
      </c>
    </row>
    <row r="391" customFormat="false" ht="15" hidden="false" customHeight="false" outlineLevel="0" collapsed="false">
      <c r="A391" s="18" t="s">
        <v>33</v>
      </c>
      <c r="B391" s="18" t="s">
        <v>246</v>
      </c>
      <c r="C391" s="18" t="s">
        <v>247</v>
      </c>
      <c r="D391" s="18" t="s">
        <v>51</v>
      </c>
      <c r="E391" s="18" t="s">
        <v>185</v>
      </c>
      <c r="F391" s="18" t="n">
        <v>146</v>
      </c>
      <c r="G391" s="18" t="s">
        <v>125</v>
      </c>
      <c r="H391" s="18" t="s">
        <v>321</v>
      </c>
      <c r="I391" s="18" t="s">
        <v>23</v>
      </c>
      <c r="J391" s="18" t="s">
        <v>13</v>
      </c>
      <c r="K391" s="18" t="s">
        <v>165</v>
      </c>
      <c r="L391" s="18" t="s">
        <v>125</v>
      </c>
      <c r="M391" s="18" t="s">
        <v>125</v>
      </c>
      <c r="N391" s="18" t="s">
        <v>125</v>
      </c>
      <c r="O391" s="18" t="s">
        <v>249</v>
      </c>
      <c r="P391" s="19" t="n">
        <v>46166.125</v>
      </c>
      <c r="Q391" s="19" t="n">
        <v>46166.2291666667</v>
      </c>
      <c r="R391" s="19" t="n">
        <v>46167.0208333333</v>
      </c>
      <c r="S391" s="20" t="n">
        <f aca="false">ROUND((Q391-P391)*24,4)</f>
        <v>2.5</v>
      </c>
      <c r="T391" s="18" t="str">
        <f aca="false">TEXT(P391,"YYYY-MM")</f>
        <v>2026-05</v>
      </c>
      <c r="U391" s="18" t="n">
        <f aca="false">RANK(S391,$S$2:$S$670)+COUNTIF($S$2:S391,S391)-1</f>
        <v>312</v>
      </c>
      <c r="V391" s="20" t="n">
        <f aca="false">ROUND((R391-Q391)*24,4)</f>
        <v>19</v>
      </c>
      <c r="W391" s="20" t="n">
        <f aca="false">ROUND((R391-P391)*24,4)</f>
        <v>21.5</v>
      </c>
      <c r="X391" s="18" t="str">
        <f aca="false">TEXT(P391,"dddd")</f>
        <v>Sunday</v>
      </c>
      <c r="Y391" s="18" t="n">
        <f aca="false">HOUR(Q391)</f>
        <v>5</v>
      </c>
    </row>
    <row r="392" customFormat="false" ht="15" hidden="false" customHeight="false" outlineLevel="0" collapsed="false">
      <c r="A392" s="18" t="s">
        <v>35</v>
      </c>
      <c r="B392" s="18" t="s">
        <v>199</v>
      </c>
      <c r="C392" s="18" t="s">
        <v>200</v>
      </c>
      <c r="D392" s="18" t="s">
        <v>46</v>
      </c>
      <c r="E392" s="18" t="s">
        <v>198</v>
      </c>
      <c r="F392" s="18" t="n">
        <v>2605</v>
      </c>
      <c r="G392" s="18" t="s">
        <v>127</v>
      </c>
      <c r="H392" s="18" t="s">
        <v>304</v>
      </c>
      <c r="I392" s="18" t="s">
        <v>20</v>
      </c>
      <c r="J392" s="18" t="s">
        <v>13</v>
      </c>
      <c r="K392" s="18" t="s">
        <v>12</v>
      </c>
      <c r="L392" s="18" t="s">
        <v>125</v>
      </c>
      <c r="M392" s="18" t="s">
        <v>125</v>
      </c>
      <c r="N392" s="18" t="s">
        <v>144</v>
      </c>
      <c r="O392" s="18"/>
      <c r="P392" s="19" t="n">
        <v>46166.5</v>
      </c>
      <c r="Q392" s="19" t="n">
        <v>46166.5416666667</v>
      </c>
      <c r="R392" s="19" t="n">
        <v>46166.875</v>
      </c>
      <c r="S392" s="20" t="n">
        <f aca="false">ROUND((Q392-P392)*24,4)</f>
        <v>1</v>
      </c>
      <c r="T392" s="18" t="str">
        <f aca="false">TEXT(P392,"YYYY-MM")</f>
        <v>2026-05</v>
      </c>
      <c r="U392" s="18" t="n">
        <f aca="false">RANK(S392,$S$2:$S$670)+COUNTIF($S$2:S392,S392)-1</f>
        <v>488</v>
      </c>
      <c r="V392" s="20" t="n">
        <f aca="false">ROUND((R392-Q392)*24,4)</f>
        <v>8</v>
      </c>
      <c r="W392" s="20" t="n">
        <f aca="false">ROUND((R392-P392)*24,4)</f>
        <v>9</v>
      </c>
      <c r="X392" s="18" t="str">
        <f aca="false">TEXT(P392,"dddd")</f>
        <v>Sunday</v>
      </c>
      <c r="Y392" s="18" t="n">
        <f aca="false">HOUR(Q392)</f>
        <v>13</v>
      </c>
    </row>
    <row r="393" customFormat="false" ht="15" hidden="false" customHeight="false" outlineLevel="0" collapsed="false">
      <c r="A393" s="18" t="s">
        <v>31</v>
      </c>
      <c r="B393" s="18" t="s">
        <v>236</v>
      </c>
      <c r="C393" s="18" t="s">
        <v>237</v>
      </c>
      <c r="D393" s="18" t="s">
        <v>46</v>
      </c>
      <c r="E393" s="18" t="s">
        <v>168</v>
      </c>
      <c r="F393" s="18" t="n">
        <v>2604</v>
      </c>
      <c r="G393" s="18" t="s">
        <v>125</v>
      </c>
      <c r="H393" s="18" t="s">
        <v>294</v>
      </c>
      <c r="I393" s="18" t="s">
        <v>18</v>
      </c>
      <c r="J393" s="18" t="s">
        <v>12</v>
      </c>
      <c r="K393" s="18" t="s">
        <v>13</v>
      </c>
      <c r="L393" s="18" t="s">
        <v>125</v>
      </c>
      <c r="M393" s="18" t="s">
        <v>125</v>
      </c>
      <c r="N393" s="18" t="s">
        <v>125</v>
      </c>
      <c r="O393" s="18"/>
      <c r="P393" s="19" t="n">
        <v>46166.5833333333</v>
      </c>
      <c r="Q393" s="19" t="n">
        <v>46166.9930555556</v>
      </c>
      <c r="R393" s="19" t="n">
        <v>46167.9166666667</v>
      </c>
      <c r="S393" s="20" t="n">
        <f aca="false">ROUND((Q393-P393)*24,4)</f>
        <v>9.8333</v>
      </c>
      <c r="T393" s="18" t="str">
        <f aca="false">TEXT(P393,"YYYY-MM")</f>
        <v>2026-05</v>
      </c>
      <c r="U393" s="18" t="n">
        <f aca="false">RANK(S393,$S$2:$S$670)+COUNTIF($S$2:S393,S393)-1</f>
        <v>148</v>
      </c>
      <c r="V393" s="20" t="n">
        <f aca="false">ROUND((R393-Q393)*24,4)</f>
        <v>22.1667</v>
      </c>
      <c r="W393" s="20" t="n">
        <f aca="false">ROUND((R393-P393)*24,4)</f>
        <v>32</v>
      </c>
      <c r="X393" s="18" t="str">
        <f aca="false">TEXT(P393,"dddd")</f>
        <v>Sunday</v>
      </c>
      <c r="Y393" s="18" t="n">
        <f aca="false">HOUR(Q393)</f>
        <v>23</v>
      </c>
    </row>
    <row r="394" customFormat="false" ht="15" hidden="false" customHeight="false" outlineLevel="0" collapsed="false">
      <c r="A394" s="18" t="s">
        <v>35</v>
      </c>
      <c r="B394" s="18" t="s">
        <v>199</v>
      </c>
      <c r="C394" s="18" t="s">
        <v>200</v>
      </c>
      <c r="D394" s="18" t="s">
        <v>46</v>
      </c>
      <c r="E394" s="18" t="s">
        <v>168</v>
      </c>
      <c r="F394" s="18" t="n">
        <v>2605</v>
      </c>
      <c r="G394" s="18" t="s">
        <v>125</v>
      </c>
      <c r="H394" s="18" t="s">
        <v>305</v>
      </c>
      <c r="I394" s="18" t="s">
        <v>19</v>
      </c>
      <c r="J394" s="18" t="s">
        <v>12</v>
      </c>
      <c r="K394" s="18" t="s">
        <v>13</v>
      </c>
      <c r="L394" s="18" t="s">
        <v>125</v>
      </c>
      <c r="M394" s="18" t="s">
        <v>125</v>
      </c>
      <c r="N394" s="18" t="s">
        <v>125</v>
      </c>
      <c r="O394" s="18"/>
      <c r="P394" s="19" t="n">
        <v>46166.9583333333</v>
      </c>
      <c r="Q394" s="19" t="n">
        <v>46168.125</v>
      </c>
      <c r="R394" s="19" t="n">
        <v>46169.9583333333</v>
      </c>
      <c r="S394" s="20" t="n">
        <f aca="false">ROUND((Q394-P394)*24,4)</f>
        <v>28</v>
      </c>
      <c r="T394" s="18" t="str">
        <f aca="false">TEXT(P394,"YYYY-MM")</f>
        <v>2026-05</v>
      </c>
      <c r="U394" s="18" t="n">
        <f aca="false">RANK(S394,$S$2:$S$670)+COUNTIF($S$2:S394,S394)-1</f>
        <v>24</v>
      </c>
      <c r="V394" s="20" t="n">
        <f aca="false">ROUND((R394-Q394)*24,4)</f>
        <v>44</v>
      </c>
      <c r="W394" s="20" t="n">
        <f aca="false">ROUND((R394-P394)*24,4)</f>
        <v>72</v>
      </c>
      <c r="X394" s="18" t="str">
        <f aca="false">TEXT(P394,"dddd")</f>
        <v>Sunday</v>
      </c>
      <c r="Y394" s="18" t="n">
        <f aca="false">HOUR(Q394)</f>
        <v>3</v>
      </c>
    </row>
    <row r="395" customFormat="false" ht="15" hidden="false" customHeight="false" outlineLevel="0" collapsed="false">
      <c r="A395" s="18" t="s">
        <v>34</v>
      </c>
      <c r="B395" s="18" t="s">
        <v>240</v>
      </c>
      <c r="C395" s="18" t="s">
        <v>241</v>
      </c>
      <c r="D395" s="18" t="s">
        <v>50</v>
      </c>
      <c r="E395" s="18" t="s">
        <v>185</v>
      </c>
      <c r="F395" s="18" t="n">
        <v>2606</v>
      </c>
      <c r="G395" s="18" t="s">
        <v>125</v>
      </c>
      <c r="H395" s="18" t="s">
        <v>270</v>
      </c>
      <c r="I395" s="18" t="s">
        <v>23</v>
      </c>
      <c r="J395" s="18" t="s">
        <v>13</v>
      </c>
      <c r="K395" s="18" t="s">
        <v>165</v>
      </c>
      <c r="L395" s="18" t="s">
        <v>125</v>
      </c>
      <c r="M395" s="18" t="s">
        <v>125</v>
      </c>
      <c r="N395" s="18" t="s">
        <v>125</v>
      </c>
      <c r="O395" s="18"/>
      <c r="P395" s="19" t="n">
        <v>46166.9583333333</v>
      </c>
      <c r="Q395" s="19" t="n">
        <v>46167.3791666667</v>
      </c>
      <c r="R395" s="19" t="n">
        <v>46167.75</v>
      </c>
      <c r="S395" s="20" t="n">
        <f aca="false">ROUND((Q395-P395)*24,4)</f>
        <v>10.1</v>
      </c>
      <c r="T395" s="18" t="str">
        <f aca="false">TEXT(P395,"YYYY-MM")</f>
        <v>2026-05</v>
      </c>
      <c r="U395" s="18" t="n">
        <f aca="false">RANK(S395,$S$2:$S$670)+COUNTIF($S$2:S395,S395)-1</f>
        <v>138</v>
      </c>
      <c r="V395" s="20" t="n">
        <f aca="false">ROUND((R395-Q395)*24,4)</f>
        <v>8.9</v>
      </c>
      <c r="W395" s="20" t="n">
        <f aca="false">ROUND((R395-P395)*24,4)</f>
        <v>19</v>
      </c>
      <c r="X395" s="18" t="str">
        <f aca="false">TEXT(P395,"dddd")</f>
        <v>Sunday</v>
      </c>
      <c r="Y395" s="18" t="n">
        <f aca="false">HOUR(Q395)</f>
        <v>9</v>
      </c>
    </row>
    <row r="396" customFormat="false" ht="15" hidden="false" customHeight="false" outlineLevel="0" collapsed="false">
      <c r="A396" s="18" t="s">
        <v>32</v>
      </c>
      <c r="B396" s="18" t="s">
        <v>182</v>
      </c>
      <c r="C396" s="18" t="s">
        <v>183</v>
      </c>
      <c r="D396" s="18" t="s">
        <v>48</v>
      </c>
      <c r="E396" s="18" t="s">
        <v>168</v>
      </c>
      <c r="F396" s="18" t="n">
        <v>2606</v>
      </c>
      <c r="G396" s="18" t="s">
        <v>127</v>
      </c>
      <c r="H396" s="18" t="s">
        <v>269</v>
      </c>
      <c r="I396" s="18" t="s">
        <v>23</v>
      </c>
      <c r="J396" s="18" t="s">
        <v>13</v>
      </c>
      <c r="K396" s="18" t="s">
        <v>12</v>
      </c>
      <c r="L396" s="18" t="s">
        <v>125</v>
      </c>
      <c r="M396" s="18" t="s">
        <v>125</v>
      </c>
      <c r="N396" s="18" t="s">
        <v>125</v>
      </c>
      <c r="O396" s="18"/>
      <c r="P396" s="19" t="n">
        <v>46167.0208333333</v>
      </c>
      <c r="Q396" s="19" t="n">
        <v>46167.0416666667</v>
      </c>
      <c r="R396" s="19" t="n">
        <v>46167.3333333333</v>
      </c>
      <c r="S396" s="20" t="n">
        <f aca="false">ROUND((Q396-P396)*24,4)</f>
        <v>0.5</v>
      </c>
      <c r="T396" s="18" t="str">
        <f aca="false">TEXT(P396,"YYYY-MM")</f>
        <v>2026-05</v>
      </c>
      <c r="U396" s="18" t="n">
        <f aca="false">RANK(S396,$S$2:$S$670)+COUNTIF($S$2:S396,S396)-1</f>
        <v>613</v>
      </c>
      <c r="V396" s="20" t="n">
        <f aca="false">ROUND((R396-Q396)*24,4)</f>
        <v>7</v>
      </c>
      <c r="W396" s="20" t="n">
        <f aca="false">ROUND((R396-P396)*24,4)</f>
        <v>7.5</v>
      </c>
      <c r="X396" s="18" t="str">
        <f aca="false">TEXT(P396,"dddd")</f>
        <v>Monday</v>
      </c>
      <c r="Y396" s="18" t="n">
        <f aca="false">HOUR(Q396)</f>
        <v>1</v>
      </c>
    </row>
    <row r="397" customFormat="false" ht="15" hidden="false" customHeight="false" outlineLevel="0" collapsed="false">
      <c r="A397" s="18" t="s">
        <v>39</v>
      </c>
      <c r="B397" s="18" t="s">
        <v>238</v>
      </c>
      <c r="C397" s="18" t="s">
        <v>239</v>
      </c>
      <c r="D397" s="18" t="s">
        <v>50</v>
      </c>
      <c r="E397" s="18" t="s">
        <v>176</v>
      </c>
      <c r="F397" s="18" t="n">
        <v>2608</v>
      </c>
      <c r="G397" s="18" t="s">
        <v>125</v>
      </c>
      <c r="H397" s="18" t="s">
        <v>302</v>
      </c>
      <c r="I397" s="18" t="s">
        <v>21</v>
      </c>
      <c r="J397" s="18" t="s">
        <v>13</v>
      </c>
      <c r="K397" s="18" t="s">
        <v>216</v>
      </c>
      <c r="L397" s="18" t="s">
        <v>125</v>
      </c>
      <c r="M397" s="18" t="s">
        <v>125</v>
      </c>
      <c r="N397" s="18" t="s">
        <v>125</v>
      </c>
      <c r="O397" s="18"/>
      <c r="P397" s="19" t="n">
        <v>46167.3333333333</v>
      </c>
      <c r="Q397" s="19" t="n">
        <v>46167.3458333333</v>
      </c>
      <c r="R397" s="19" t="n">
        <v>46167.8375</v>
      </c>
      <c r="S397" s="20" t="n">
        <f aca="false">ROUND((Q397-P397)*24,4)</f>
        <v>0.3</v>
      </c>
      <c r="T397" s="18" t="str">
        <f aca="false">TEXT(P397,"YYYY-MM")</f>
        <v>2026-05</v>
      </c>
      <c r="U397" s="18" t="n">
        <f aca="false">RANK(S397,$S$2:$S$670)+COUNTIF($S$2:S397,S397)-1</f>
        <v>622</v>
      </c>
      <c r="V397" s="20" t="n">
        <f aca="false">ROUND((R397-Q397)*24,4)</f>
        <v>11.8</v>
      </c>
      <c r="W397" s="20" t="n">
        <f aca="false">ROUND((R397-P397)*24,4)</f>
        <v>12.1</v>
      </c>
      <c r="X397" s="18" t="str">
        <f aca="false">TEXT(P397,"dddd")</f>
        <v>Monday</v>
      </c>
      <c r="Y397" s="18" t="n">
        <f aca="false">HOUR(Q397)</f>
        <v>8</v>
      </c>
    </row>
    <row r="398" customFormat="false" ht="15" hidden="false" customHeight="false" outlineLevel="0" collapsed="false">
      <c r="A398" s="18" t="s">
        <v>32</v>
      </c>
      <c r="B398" s="18" t="s">
        <v>182</v>
      </c>
      <c r="C398" s="18" t="s">
        <v>183</v>
      </c>
      <c r="D398" s="18" t="s">
        <v>48</v>
      </c>
      <c r="E398" s="18" t="s">
        <v>163</v>
      </c>
      <c r="F398" s="18" t="n">
        <v>2606</v>
      </c>
      <c r="G398" s="18" t="s">
        <v>125</v>
      </c>
      <c r="H398" s="18" t="s">
        <v>270</v>
      </c>
      <c r="I398" s="18" t="s">
        <v>17</v>
      </c>
      <c r="J398" s="18" t="s">
        <v>12</v>
      </c>
      <c r="K398" s="18" t="s">
        <v>13</v>
      </c>
      <c r="L398" s="18" t="s">
        <v>125</v>
      </c>
      <c r="M398" s="18" t="s">
        <v>125</v>
      </c>
      <c r="N398" s="18" t="s">
        <v>125</v>
      </c>
      <c r="O398" s="18"/>
      <c r="P398" s="19" t="n">
        <v>46167.4375</v>
      </c>
      <c r="Q398" s="19" t="n">
        <v>46168.1041666667</v>
      </c>
      <c r="R398" s="19" t="n">
        <v>46169.9583333333</v>
      </c>
      <c r="S398" s="20" t="n">
        <f aca="false">ROUND((Q398-P398)*24,4)</f>
        <v>16</v>
      </c>
      <c r="T398" s="18" t="str">
        <f aca="false">TEXT(P398,"YYYY-MM")</f>
        <v>2026-05</v>
      </c>
      <c r="U398" s="18" t="n">
        <f aca="false">RANK(S398,$S$2:$S$670)+COUNTIF($S$2:S398,S398)-1</f>
        <v>74</v>
      </c>
      <c r="V398" s="20" t="n">
        <f aca="false">ROUND((R398-Q398)*24,4)</f>
        <v>44.5</v>
      </c>
      <c r="W398" s="20" t="n">
        <f aca="false">ROUND((R398-P398)*24,4)</f>
        <v>60.5</v>
      </c>
      <c r="X398" s="18" t="str">
        <f aca="false">TEXT(P398,"dddd")</f>
        <v>Monday</v>
      </c>
      <c r="Y398" s="18" t="n">
        <f aca="false">HOUR(Q398)</f>
        <v>2</v>
      </c>
    </row>
    <row r="399" customFormat="false" ht="15" hidden="false" customHeight="false" outlineLevel="0" collapsed="false">
      <c r="A399" s="18" t="s">
        <v>38</v>
      </c>
      <c r="B399" s="18" t="s">
        <v>178</v>
      </c>
      <c r="C399" s="18" t="s">
        <v>179</v>
      </c>
      <c r="D399" s="18" t="s">
        <v>49</v>
      </c>
      <c r="E399" s="18" t="s">
        <v>163</v>
      </c>
      <c r="F399" s="18" t="n">
        <v>2604</v>
      </c>
      <c r="G399" s="18" t="s">
        <v>127</v>
      </c>
      <c r="H399" s="18" t="s">
        <v>293</v>
      </c>
      <c r="I399" s="18" t="s">
        <v>23</v>
      </c>
      <c r="J399" s="18" t="s">
        <v>13</v>
      </c>
      <c r="K399" s="18" t="s">
        <v>181</v>
      </c>
      <c r="L399" s="18" t="s">
        <v>125</v>
      </c>
      <c r="M399" s="18" t="s">
        <v>125</v>
      </c>
      <c r="N399" s="18" t="s">
        <v>125</v>
      </c>
      <c r="O399" s="18"/>
      <c r="P399" s="19" t="n">
        <v>46167.8333333333</v>
      </c>
      <c r="Q399" s="19" t="n">
        <v>46168.125</v>
      </c>
      <c r="R399" s="19" t="n">
        <v>46168.8833333333</v>
      </c>
      <c r="S399" s="20" t="n">
        <f aca="false">ROUND((Q399-P399)*24,4)</f>
        <v>7</v>
      </c>
      <c r="T399" s="18" t="str">
        <f aca="false">TEXT(P399,"YYYY-MM")</f>
        <v>2026-05</v>
      </c>
      <c r="U399" s="18" t="n">
        <f aca="false">RANK(S399,$S$2:$S$670)+COUNTIF($S$2:S399,S399)-1</f>
        <v>189</v>
      </c>
      <c r="V399" s="20" t="n">
        <f aca="false">ROUND((R399-Q399)*24,4)</f>
        <v>18.2</v>
      </c>
      <c r="W399" s="20" t="n">
        <f aca="false">ROUND((R399-P399)*24,4)</f>
        <v>25.2</v>
      </c>
      <c r="X399" s="18" t="str">
        <f aca="false">TEXT(P399,"dddd")</f>
        <v>Monday</v>
      </c>
      <c r="Y399" s="18" t="n">
        <f aca="false">HOUR(Q399)</f>
        <v>3</v>
      </c>
    </row>
    <row r="400" customFormat="false" ht="15" hidden="false" customHeight="false" outlineLevel="0" collapsed="false">
      <c r="A400" s="18" t="s">
        <v>31</v>
      </c>
      <c r="B400" s="18" t="s">
        <v>236</v>
      </c>
      <c r="C400" s="18" t="s">
        <v>237</v>
      </c>
      <c r="D400" s="18" t="s">
        <v>46</v>
      </c>
      <c r="E400" s="18" t="s">
        <v>163</v>
      </c>
      <c r="F400" s="18" t="n">
        <v>2604</v>
      </c>
      <c r="G400" s="18" t="s">
        <v>125</v>
      </c>
      <c r="H400" s="18" t="s">
        <v>294</v>
      </c>
      <c r="I400" s="18" t="s">
        <v>24</v>
      </c>
      <c r="J400" s="18" t="s">
        <v>13</v>
      </c>
      <c r="K400" s="18" t="s">
        <v>165</v>
      </c>
      <c r="L400" s="18" t="s">
        <v>125</v>
      </c>
      <c r="M400" s="18" t="s">
        <v>125</v>
      </c>
      <c r="N400" s="18" t="s">
        <v>125</v>
      </c>
      <c r="O400" s="18"/>
      <c r="P400" s="19" t="n">
        <v>46168.0833333333</v>
      </c>
      <c r="Q400" s="19" t="n">
        <v>46168.1</v>
      </c>
      <c r="R400" s="19" t="n">
        <v>46168.5416666667</v>
      </c>
      <c r="S400" s="20" t="n">
        <f aca="false">ROUND((Q400-P400)*24,4)</f>
        <v>0.4</v>
      </c>
      <c r="T400" s="18" t="str">
        <f aca="false">TEXT(P400,"YYYY-MM")</f>
        <v>2026-05</v>
      </c>
      <c r="U400" s="18" t="n">
        <f aca="false">RANK(S400,$S$2:$S$670)+COUNTIF($S$2:S400,S400)-1</f>
        <v>619</v>
      </c>
      <c r="V400" s="20" t="n">
        <f aca="false">ROUND((R400-Q400)*24,4)</f>
        <v>10.6</v>
      </c>
      <c r="W400" s="20" t="n">
        <f aca="false">ROUND((R400-P400)*24,4)</f>
        <v>11</v>
      </c>
      <c r="X400" s="18" t="str">
        <f aca="false">TEXT(P400,"dddd")</f>
        <v>Tuesday</v>
      </c>
      <c r="Y400" s="18" t="n">
        <f aca="false">HOUR(Q400)</f>
        <v>2</v>
      </c>
    </row>
    <row r="401" customFormat="false" ht="15" hidden="false" customHeight="false" outlineLevel="0" collapsed="false">
      <c r="A401" s="18" t="s">
        <v>33</v>
      </c>
      <c r="B401" s="18" t="s">
        <v>174</v>
      </c>
      <c r="C401" s="18" t="s">
        <v>175</v>
      </c>
      <c r="D401" s="18" t="s">
        <v>49</v>
      </c>
      <c r="E401" s="18" t="s">
        <v>163</v>
      </c>
      <c r="F401" s="18" t="n">
        <v>2606</v>
      </c>
      <c r="G401" s="18" t="s">
        <v>127</v>
      </c>
      <c r="H401" s="18" t="s">
        <v>269</v>
      </c>
      <c r="I401" s="18" t="s">
        <v>23</v>
      </c>
      <c r="J401" s="18" t="s">
        <v>13</v>
      </c>
      <c r="K401" s="18" t="s">
        <v>12</v>
      </c>
      <c r="L401" s="18" t="s">
        <v>125</v>
      </c>
      <c r="M401" s="18" t="s">
        <v>125</v>
      </c>
      <c r="N401" s="18" t="s">
        <v>125</v>
      </c>
      <c r="O401" s="18"/>
      <c r="P401" s="19" t="n">
        <v>46169.75</v>
      </c>
      <c r="Q401" s="19" t="n">
        <v>46169.7916666667</v>
      </c>
      <c r="R401" s="19" t="n">
        <v>46170.0833333333</v>
      </c>
      <c r="S401" s="20" t="n">
        <f aca="false">ROUND((Q401-P401)*24,4)</f>
        <v>1</v>
      </c>
      <c r="T401" s="18" t="str">
        <f aca="false">TEXT(P401,"YYYY-MM")</f>
        <v>2026-05</v>
      </c>
      <c r="U401" s="18" t="n">
        <f aca="false">RANK(S401,$S$2:$S$670)+COUNTIF($S$2:S401,S401)-1</f>
        <v>489</v>
      </c>
      <c r="V401" s="20" t="n">
        <f aca="false">ROUND((R401-Q401)*24,4)</f>
        <v>7</v>
      </c>
      <c r="W401" s="20" t="n">
        <f aca="false">ROUND((R401-P401)*24,4)</f>
        <v>8</v>
      </c>
      <c r="X401" s="18" t="str">
        <f aca="false">TEXT(P401,"dddd")</f>
        <v>Wednesday</v>
      </c>
      <c r="Y401" s="18" t="n">
        <f aca="false">HOUR(Q401)</f>
        <v>19</v>
      </c>
    </row>
    <row r="402" customFormat="false" ht="15" hidden="false" customHeight="false" outlineLevel="0" collapsed="false">
      <c r="A402" s="18" t="s">
        <v>35</v>
      </c>
      <c r="B402" s="18" t="s">
        <v>199</v>
      </c>
      <c r="C402" s="18" t="s">
        <v>200</v>
      </c>
      <c r="D402" s="18" t="s">
        <v>46</v>
      </c>
      <c r="E402" s="18" t="s">
        <v>163</v>
      </c>
      <c r="F402" s="18" t="n">
        <v>2605</v>
      </c>
      <c r="G402" s="18" t="s">
        <v>125</v>
      </c>
      <c r="H402" s="18" t="s">
        <v>305</v>
      </c>
      <c r="I402" s="18" t="s">
        <v>20</v>
      </c>
      <c r="J402" s="18" t="s">
        <v>13</v>
      </c>
      <c r="K402" s="18" t="s">
        <v>186</v>
      </c>
      <c r="L402" s="18" t="s">
        <v>125</v>
      </c>
      <c r="M402" s="18" t="s">
        <v>144</v>
      </c>
      <c r="N402" s="18" t="s">
        <v>125</v>
      </c>
      <c r="O402" s="18"/>
      <c r="P402" s="19" t="n">
        <v>46170.1666666667</v>
      </c>
      <c r="Q402" s="19" t="n">
        <v>46170.6666666667</v>
      </c>
      <c r="R402" s="19" t="n">
        <v>46171.0416666667</v>
      </c>
      <c r="S402" s="20" t="n">
        <f aca="false">ROUND((Q402-P402)*24,4)</f>
        <v>12</v>
      </c>
      <c r="T402" s="18" t="str">
        <f aca="false">TEXT(P402,"YYYY-MM")</f>
        <v>2026-05</v>
      </c>
      <c r="U402" s="18" t="n">
        <f aca="false">RANK(S402,$S$2:$S$670)+COUNTIF($S$2:S402,S402)-1</f>
        <v>118</v>
      </c>
      <c r="V402" s="20" t="n">
        <f aca="false">ROUND((R402-Q402)*24,4)</f>
        <v>9</v>
      </c>
      <c r="W402" s="20" t="n">
        <f aca="false">ROUND((R402-P402)*24,4)</f>
        <v>21</v>
      </c>
      <c r="X402" s="18" t="str">
        <f aca="false">TEXT(P402,"dddd")</f>
        <v>Thursday</v>
      </c>
      <c r="Y402" s="18" t="n">
        <f aca="false">HOUR(Q402)</f>
        <v>16</v>
      </c>
    </row>
    <row r="403" customFormat="false" ht="15" hidden="false" customHeight="false" outlineLevel="0" collapsed="false">
      <c r="A403" s="18" t="s">
        <v>33</v>
      </c>
      <c r="B403" s="18" t="s">
        <v>174</v>
      </c>
      <c r="C403" s="18" t="s">
        <v>175</v>
      </c>
      <c r="D403" s="18" t="s">
        <v>49</v>
      </c>
      <c r="E403" s="18" t="s">
        <v>176</v>
      </c>
      <c r="F403" s="18" t="n">
        <v>2606</v>
      </c>
      <c r="G403" s="18" t="s">
        <v>125</v>
      </c>
      <c r="H403" s="18" t="s">
        <v>270</v>
      </c>
      <c r="I403" s="18" t="s">
        <v>18</v>
      </c>
      <c r="J403" s="18" t="s">
        <v>12</v>
      </c>
      <c r="K403" s="18" t="s">
        <v>13</v>
      </c>
      <c r="L403" s="18" t="s">
        <v>125</v>
      </c>
      <c r="M403" s="18" t="s">
        <v>125</v>
      </c>
      <c r="N403" s="18" t="s">
        <v>125</v>
      </c>
      <c r="O403" s="18"/>
      <c r="P403" s="19" t="n">
        <v>46170.1666666667</v>
      </c>
      <c r="Q403" s="19" t="n">
        <v>46170.25</v>
      </c>
      <c r="R403" s="19" t="n">
        <v>46170.9166666667</v>
      </c>
      <c r="S403" s="20" t="n">
        <f aca="false">ROUND((Q403-P403)*24,4)</f>
        <v>2</v>
      </c>
      <c r="T403" s="18" t="str">
        <f aca="false">TEXT(P403,"YYYY-MM")</f>
        <v>2026-05</v>
      </c>
      <c r="U403" s="18" t="n">
        <f aca="false">RANK(S403,$S$2:$S$670)+COUNTIF($S$2:S403,S403)-1</f>
        <v>331</v>
      </c>
      <c r="V403" s="20" t="n">
        <f aca="false">ROUND((R403-Q403)*24,4)</f>
        <v>16</v>
      </c>
      <c r="W403" s="20" t="n">
        <f aca="false">ROUND((R403-P403)*24,4)</f>
        <v>18</v>
      </c>
      <c r="X403" s="18" t="str">
        <f aca="false">TEXT(P403,"dddd")</f>
        <v>Thursday</v>
      </c>
      <c r="Y403" s="18" t="n">
        <f aca="false">HOUR(Q403)</f>
        <v>6</v>
      </c>
    </row>
    <row r="404" customFormat="false" ht="15" hidden="false" customHeight="false" outlineLevel="0" collapsed="false">
      <c r="A404" s="18" t="s">
        <v>32</v>
      </c>
      <c r="B404" s="18" t="s">
        <v>182</v>
      </c>
      <c r="C404" s="18" t="s">
        <v>183</v>
      </c>
      <c r="D404" s="18" t="s">
        <v>48</v>
      </c>
      <c r="E404" s="18" t="s">
        <v>176</v>
      </c>
      <c r="F404" s="18" t="n">
        <v>2606</v>
      </c>
      <c r="G404" s="18" t="s">
        <v>125</v>
      </c>
      <c r="H404" s="18" t="s">
        <v>270</v>
      </c>
      <c r="I404" s="18" t="s">
        <v>23</v>
      </c>
      <c r="J404" s="18" t="s">
        <v>13</v>
      </c>
      <c r="K404" s="18" t="s">
        <v>309</v>
      </c>
      <c r="L404" s="18" t="s">
        <v>125</v>
      </c>
      <c r="M404" s="18" t="s">
        <v>125</v>
      </c>
      <c r="N404" s="18" t="s">
        <v>125</v>
      </c>
      <c r="O404" s="18"/>
      <c r="P404" s="19" t="n">
        <v>46170.1666666667</v>
      </c>
      <c r="Q404" s="19" t="n">
        <v>46170.2083333333</v>
      </c>
      <c r="R404" s="19" t="n">
        <v>46170.5416666667</v>
      </c>
      <c r="S404" s="20" t="n">
        <f aca="false">ROUND((Q404-P404)*24,4)</f>
        <v>1</v>
      </c>
      <c r="T404" s="18" t="str">
        <f aca="false">TEXT(P404,"YYYY-MM")</f>
        <v>2026-05</v>
      </c>
      <c r="U404" s="18" t="n">
        <f aca="false">RANK(S404,$S$2:$S$670)+COUNTIF($S$2:S404,S404)-1</f>
        <v>490</v>
      </c>
      <c r="V404" s="20" t="n">
        <f aca="false">ROUND((R404-Q404)*24,4)</f>
        <v>8</v>
      </c>
      <c r="W404" s="20" t="n">
        <f aca="false">ROUND((R404-P404)*24,4)</f>
        <v>9</v>
      </c>
      <c r="X404" s="18" t="str">
        <f aca="false">TEXT(P404,"dddd")</f>
        <v>Thursday</v>
      </c>
      <c r="Y404" s="18" t="n">
        <f aca="false">HOUR(Q404)</f>
        <v>5</v>
      </c>
    </row>
    <row r="405" customFormat="false" ht="15" hidden="false" customHeight="false" outlineLevel="0" collapsed="false">
      <c r="A405" s="18" t="s">
        <v>33</v>
      </c>
      <c r="B405" s="18" t="s">
        <v>174</v>
      </c>
      <c r="C405" s="18" t="s">
        <v>175</v>
      </c>
      <c r="D405" s="18" t="s">
        <v>49</v>
      </c>
      <c r="E405" s="18" t="s">
        <v>185</v>
      </c>
      <c r="F405" s="18" t="n">
        <v>2606</v>
      </c>
      <c r="G405" s="18" t="s">
        <v>125</v>
      </c>
      <c r="H405" s="18" t="s">
        <v>270</v>
      </c>
      <c r="I405" s="18" t="s">
        <v>23</v>
      </c>
      <c r="J405" s="18" t="s">
        <v>13</v>
      </c>
      <c r="K405" s="18" t="s">
        <v>165</v>
      </c>
      <c r="L405" s="18" t="s">
        <v>125</v>
      </c>
      <c r="M405" s="18" t="s">
        <v>125</v>
      </c>
      <c r="N405" s="18" t="s">
        <v>125</v>
      </c>
      <c r="O405" s="18"/>
      <c r="P405" s="19" t="n">
        <v>46171.0833333333</v>
      </c>
      <c r="Q405" s="19" t="n">
        <v>46171.125</v>
      </c>
      <c r="R405" s="19" t="n">
        <v>46171.5</v>
      </c>
      <c r="S405" s="20" t="n">
        <f aca="false">ROUND((Q405-P405)*24,4)</f>
        <v>1</v>
      </c>
      <c r="T405" s="18" t="str">
        <f aca="false">TEXT(P405,"YYYY-MM")</f>
        <v>2026-05</v>
      </c>
      <c r="U405" s="18" t="n">
        <f aca="false">RANK(S405,$S$2:$S$670)+COUNTIF($S$2:S405,S405)-1</f>
        <v>491</v>
      </c>
      <c r="V405" s="20" t="n">
        <f aca="false">ROUND((R405-Q405)*24,4)</f>
        <v>9</v>
      </c>
      <c r="W405" s="20" t="n">
        <f aca="false">ROUND((R405-P405)*24,4)</f>
        <v>10</v>
      </c>
      <c r="X405" s="18" t="str">
        <f aca="false">TEXT(P405,"dddd")</f>
        <v>Friday</v>
      </c>
      <c r="Y405" s="18" t="n">
        <f aca="false">HOUR(Q405)</f>
        <v>3</v>
      </c>
    </row>
    <row r="406" customFormat="false" ht="15" hidden="false" customHeight="false" outlineLevel="0" collapsed="false">
      <c r="A406" s="18" t="s">
        <v>32</v>
      </c>
      <c r="B406" s="18" t="s">
        <v>188</v>
      </c>
      <c r="C406" s="18" t="s">
        <v>189</v>
      </c>
      <c r="D406" s="18" t="s">
        <v>46</v>
      </c>
      <c r="E406" s="18" t="s">
        <v>168</v>
      </c>
      <c r="F406" s="18" t="n">
        <v>2606</v>
      </c>
      <c r="G406" s="18" t="s">
        <v>127</v>
      </c>
      <c r="H406" s="18" t="s">
        <v>269</v>
      </c>
      <c r="I406" s="18" t="s">
        <v>23</v>
      </c>
      <c r="J406" s="18" t="s">
        <v>13</v>
      </c>
      <c r="K406" s="18" t="s">
        <v>12</v>
      </c>
      <c r="L406" s="18" t="s">
        <v>125</v>
      </c>
      <c r="M406" s="18" t="s">
        <v>125</v>
      </c>
      <c r="N406" s="18" t="s">
        <v>125</v>
      </c>
      <c r="O406" s="18"/>
      <c r="P406" s="19" t="n">
        <v>46171.7861111111</v>
      </c>
      <c r="Q406" s="19" t="n">
        <v>46171.8125</v>
      </c>
      <c r="R406" s="19" t="n">
        <v>46172.2916666667</v>
      </c>
      <c r="S406" s="20" t="n">
        <f aca="false">ROUND((Q406-P406)*24,4)</f>
        <v>0.6333</v>
      </c>
      <c r="T406" s="18" t="str">
        <f aca="false">TEXT(P406,"YYYY-MM")</f>
        <v>2026-05</v>
      </c>
      <c r="U406" s="18" t="n">
        <f aca="false">RANK(S406,$S$2:$S$670)+COUNTIF($S$2:S406,S406)-1</f>
        <v>593</v>
      </c>
      <c r="V406" s="20" t="n">
        <f aca="false">ROUND((R406-Q406)*24,4)</f>
        <v>11.5</v>
      </c>
      <c r="W406" s="20" t="n">
        <f aca="false">ROUND((R406-P406)*24,4)</f>
        <v>12.1333</v>
      </c>
      <c r="X406" s="18" t="str">
        <f aca="false">TEXT(P406,"dddd")</f>
        <v>Friday</v>
      </c>
      <c r="Y406" s="18" t="n">
        <f aca="false">HOUR(Q406)</f>
        <v>19</v>
      </c>
    </row>
    <row r="407" customFormat="false" ht="15" hidden="false" customHeight="false" outlineLevel="0" collapsed="false">
      <c r="A407" s="18" t="s">
        <v>32</v>
      </c>
      <c r="B407" s="18" t="s">
        <v>188</v>
      </c>
      <c r="C407" s="18" t="s">
        <v>189</v>
      </c>
      <c r="D407" s="18" t="s">
        <v>46</v>
      </c>
      <c r="E407" s="18" t="s">
        <v>163</v>
      </c>
      <c r="F407" s="18" t="n">
        <v>2606</v>
      </c>
      <c r="G407" s="18" t="s">
        <v>125</v>
      </c>
      <c r="H407" s="18" t="s">
        <v>270</v>
      </c>
      <c r="I407" s="18" t="s">
        <v>17</v>
      </c>
      <c r="J407" s="18" t="s">
        <v>12</v>
      </c>
      <c r="K407" s="18" t="s">
        <v>13</v>
      </c>
      <c r="L407" s="18" t="s">
        <v>125</v>
      </c>
      <c r="M407" s="18" t="s">
        <v>125</v>
      </c>
      <c r="N407" s="18" t="s">
        <v>125</v>
      </c>
      <c r="O407" s="18"/>
      <c r="P407" s="19" t="n">
        <v>46172.3833333333</v>
      </c>
      <c r="Q407" s="19" t="n">
        <v>46172.7875</v>
      </c>
      <c r="R407" s="19" t="n">
        <v>46174.6541666667</v>
      </c>
      <c r="S407" s="20" t="n">
        <f aca="false">ROUND((Q407-P407)*24,4)</f>
        <v>9.7</v>
      </c>
      <c r="T407" s="18" t="str">
        <f aca="false">TEXT(P407,"YYYY-MM")</f>
        <v>2026-05</v>
      </c>
      <c r="U407" s="18" t="n">
        <f aca="false">RANK(S407,$S$2:$S$670)+COUNTIF($S$2:S407,S407)-1</f>
        <v>149</v>
      </c>
      <c r="V407" s="20" t="n">
        <f aca="false">ROUND((R407-Q407)*24,4)</f>
        <v>44.8</v>
      </c>
      <c r="W407" s="20" t="n">
        <f aca="false">ROUND((R407-P407)*24,4)</f>
        <v>54.5</v>
      </c>
      <c r="X407" s="18" t="str">
        <f aca="false">TEXT(P407,"dddd")</f>
        <v>Saturday</v>
      </c>
      <c r="Y407" s="18" t="n">
        <f aca="false">HOUR(Q407)</f>
        <v>18</v>
      </c>
    </row>
    <row r="408" customFormat="false" ht="15" hidden="false" customHeight="false" outlineLevel="0" collapsed="false">
      <c r="A408" s="18" t="s">
        <v>34</v>
      </c>
      <c r="B408" s="18" t="s">
        <v>171</v>
      </c>
      <c r="C408" s="18" t="s">
        <v>172</v>
      </c>
      <c r="D408" s="18" t="s">
        <v>47</v>
      </c>
      <c r="E408" s="18" t="s">
        <v>163</v>
      </c>
      <c r="F408" s="18" t="n">
        <v>2606</v>
      </c>
      <c r="G408" s="18" t="s">
        <v>127</v>
      </c>
      <c r="H408" s="18" t="s">
        <v>269</v>
      </c>
      <c r="I408" s="18" t="s">
        <v>23</v>
      </c>
      <c r="J408" s="18" t="s">
        <v>13</v>
      </c>
      <c r="K408" s="18" t="s">
        <v>12</v>
      </c>
      <c r="L408" s="18" t="s">
        <v>125</v>
      </c>
      <c r="M408" s="18" t="s">
        <v>125</v>
      </c>
      <c r="N408" s="18" t="s">
        <v>125</v>
      </c>
      <c r="O408" s="18"/>
      <c r="P408" s="19" t="n">
        <v>46172.75</v>
      </c>
      <c r="Q408" s="19" t="n">
        <v>46172.7916666667</v>
      </c>
      <c r="R408" s="19" t="n">
        <v>46173.1666666667</v>
      </c>
      <c r="S408" s="20" t="n">
        <f aca="false">ROUND((Q408-P408)*24,4)</f>
        <v>1</v>
      </c>
      <c r="T408" s="18" t="str">
        <f aca="false">TEXT(P408,"YYYY-MM")</f>
        <v>2026-05</v>
      </c>
      <c r="U408" s="18" t="n">
        <f aca="false">RANK(S408,$S$2:$S$670)+COUNTIF($S$2:S408,S408)-1</f>
        <v>492</v>
      </c>
      <c r="V408" s="20" t="n">
        <f aca="false">ROUND((R408-Q408)*24,4)</f>
        <v>9</v>
      </c>
      <c r="W408" s="20" t="n">
        <f aca="false">ROUND((R408-P408)*24,4)</f>
        <v>10</v>
      </c>
      <c r="X408" s="18" t="str">
        <f aca="false">TEXT(P408,"dddd")</f>
        <v>Saturday</v>
      </c>
      <c r="Y408" s="18" t="n">
        <f aca="false">HOUR(Q408)</f>
        <v>19</v>
      </c>
    </row>
    <row r="409" customFormat="false" ht="15" hidden="false" customHeight="false" outlineLevel="0" collapsed="false">
      <c r="A409" s="18" t="s">
        <v>39</v>
      </c>
      <c r="B409" s="18" t="s">
        <v>287</v>
      </c>
      <c r="C409" s="18" t="s">
        <v>288</v>
      </c>
      <c r="D409" s="18" t="s">
        <v>46</v>
      </c>
      <c r="E409" s="18" t="s">
        <v>176</v>
      </c>
      <c r="F409" s="18" t="n">
        <v>2604</v>
      </c>
      <c r="G409" s="18" t="s">
        <v>125</v>
      </c>
      <c r="H409" s="18" t="s">
        <v>294</v>
      </c>
      <c r="I409" s="18" t="s">
        <v>21</v>
      </c>
      <c r="J409" s="18" t="s">
        <v>13</v>
      </c>
      <c r="K409" s="18" t="s">
        <v>216</v>
      </c>
      <c r="L409" s="18" t="s">
        <v>125</v>
      </c>
      <c r="M409" s="18" t="s">
        <v>125</v>
      </c>
      <c r="N409" s="18" t="s">
        <v>125</v>
      </c>
      <c r="O409" s="18"/>
      <c r="P409" s="19" t="n">
        <v>46173.125</v>
      </c>
      <c r="Q409" s="19" t="n">
        <v>46173.4791666667</v>
      </c>
      <c r="R409" s="19" t="n">
        <v>46174.25</v>
      </c>
      <c r="S409" s="20" t="n">
        <f aca="false">ROUND((Q409-P409)*24,4)</f>
        <v>8.5</v>
      </c>
      <c r="T409" s="18" t="str">
        <f aca="false">TEXT(P409,"YYYY-MM")</f>
        <v>2026-05</v>
      </c>
      <c r="U409" s="18" t="n">
        <f aca="false">RANK(S409,$S$2:$S$670)+COUNTIF($S$2:S409,S409)-1</f>
        <v>169</v>
      </c>
      <c r="V409" s="20" t="n">
        <f aca="false">ROUND((R409-Q409)*24,4)</f>
        <v>18.5</v>
      </c>
      <c r="W409" s="20" t="n">
        <f aca="false">ROUND((R409-P409)*24,4)</f>
        <v>27</v>
      </c>
      <c r="X409" s="18" t="str">
        <f aca="false">TEXT(P409,"dddd")</f>
        <v>Sunday</v>
      </c>
      <c r="Y409" s="18" t="n">
        <f aca="false">HOUR(Q409)</f>
        <v>11</v>
      </c>
    </row>
    <row r="410" customFormat="false" ht="15" hidden="false" customHeight="false" outlineLevel="0" collapsed="false">
      <c r="A410" s="18" t="s">
        <v>34</v>
      </c>
      <c r="B410" s="18" t="s">
        <v>171</v>
      </c>
      <c r="C410" s="18" t="s">
        <v>172</v>
      </c>
      <c r="D410" s="18" t="s">
        <v>47</v>
      </c>
      <c r="E410" s="18" t="s">
        <v>176</v>
      </c>
      <c r="F410" s="18" t="n">
        <v>2606</v>
      </c>
      <c r="G410" s="18" t="s">
        <v>125</v>
      </c>
      <c r="H410" s="18" t="s">
        <v>270</v>
      </c>
      <c r="I410" s="18" t="s">
        <v>17</v>
      </c>
      <c r="J410" s="18" t="s">
        <v>12</v>
      </c>
      <c r="K410" s="18" t="s">
        <v>13</v>
      </c>
      <c r="L410" s="18" t="s">
        <v>125</v>
      </c>
      <c r="M410" s="18" t="s">
        <v>125</v>
      </c>
      <c r="N410" s="18" t="s">
        <v>125</v>
      </c>
      <c r="O410" s="18"/>
      <c r="P410" s="19" t="n">
        <v>46173.25</v>
      </c>
      <c r="Q410" s="19" t="n">
        <v>46173.7916666667</v>
      </c>
      <c r="R410" s="19" t="n">
        <v>46175.625</v>
      </c>
      <c r="S410" s="20" t="n">
        <f aca="false">ROUND((Q410-P410)*24,4)</f>
        <v>13</v>
      </c>
      <c r="T410" s="18" t="str">
        <f aca="false">TEXT(P410,"YYYY-MM")</f>
        <v>2026-05</v>
      </c>
      <c r="U410" s="18" t="n">
        <f aca="false">RANK(S410,$S$2:$S$670)+COUNTIF($S$2:S410,S410)-1</f>
        <v>107</v>
      </c>
      <c r="V410" s="20" t="n">
        <f aca="false">ROUND((R410-Q410)*24,4)</f>
        <v>44</v>
      </c>
      <c r="W410" s="20" t="n">
        <f aca="false">ROUND((R410-P410)*24,4)</f>
        <v>57</v>
      </c>
      <c r="X410" s="18" t="str">
        <f aca="false">TEXT(P410,"dddd")</f>
        <v>Sunday</v>
      </c>
      <c r="Y410" s="18" t="n">
        <f aca="false">HOUR(Q410)</f>
        <v>19</v>
      </c>
    </row>
    <row r="411" customFormat="false" ht="15" hidden="false" customHeight="false" outlineLevel="0" collapsed="false">
      <c r="A411" s="18" t="s">
        <v>37</v>
      </c>
      <c r="B411" s="18" t="s">
        <v>196</v>
      </c>
      <c r="C411" s="18" t="s">
        <v>197</v>
      </c>
      <c r="D411" s="18" t="s">
        <v>46</v>
      </c>
      <c r="E411" s="18" t="s">
        <v>163</v>
      </c>
      <c r="F411" s="18" t="n">
        <v>2605</v>
      </c>
      <c r="G411" s="18" t="s">
        <v>127</v>
      </c>
      <c r="H411" s="18" t="s">
        <v>304</v>
      </c>
      <c r="I411" s="18" t="s">
        <v>20</v>
      </c>
      <c r="J411" s="18" t="s">
        <v>13</v>
      </c>
      <c r="K411" s="18" t="s">
        <v>12</v>
      </c>
      <c r="L411" s="18" t="s">
        <v>125</v>
      </c>
      <c r="M411" s="18" t="s">
        <v>125</v>
      </c>
      <c r="N411" s="18" t="s">
        <v>125</v>
      </c>
      <c r="O411" s="18"/>
      <c r="P411" s="19" t="n">
        <v>46173.5416666667</v>
      </c>
      <c r="Q411" s="19" t="n">
        <v>46173.9166666667</v>
      </c>
      <c r="R411" s="19" t="n">
        <v>46174.375</v>
      </c>
      <c r="S411" s="20" t="n">
        <f aca="false">ROUND((Q411-P411)*24,4)</f>
        <v>9</v>
      </c>
      <c r="T411" s="18" t="str">
        <f aca="false">TEXT(P411,"YYYY-MM")</f>
        <v>2026-05</v>
      </c>
      <c r="U411" s="18" t="n">
        <f aca="false">RANK(S411,$S$2:$S$670)+COUNTIF($S$2:S411,S411)-1</f>
        <v>158</v>
      </c>
      <c r="V411" s="20" t="n">
        <f aca="false">ROUND((R411-Q411)*24,4)</f>
        <v>11</v>
      </c>
      <c r="W411" s="20" t="n">
        <f aca="false">ROUND((R411-P411)*24,4)</f>
        <v>20</v>
      </c>
      <c r="X411" s="18" t="str">
        <f aca="false">TEXT(P411,"dddd")</f>
        <v>Sunday</v>
      </c>
      <c r="Y411" s="18" t="n">
        <f aca="false">HOUR(Q411)</f>
        <v>22</v>
      </c>
    </row>
    <row r="412" customFormat="false" ht="15" hidden="false" customHeight="false" outlineLevel="0" collapsed="false">
      <c r="A412" s="18" t="s">
        <v>37</v>
      </c>
      <c r="B412" s="18" t="s">
        <v>196</v>
      </c>
      <c r="C412" s="18" t="s">
        <v>197</v>
      </c>
      <c r="D412" s="18" t="s">
        <v>46</v>
      </c>
      <c r="E412" s="18" t="s">
        <v>176</v>
      </c>
      <c r="F412" s="18" t="n">
        <v>2605</v>
      </c>
      <c r="G412" s="18" t="s">
        <v>125</v>
      </c>
      <c r="H412" s="18" t="s">
        <v>305</v>
      </c>
      <c r="I412" s="18" t="s">
        <v>19</v>
      </c>
      <c r="J412" s="18" t="s">
        <v>12</v>
      </c>
      <c r="K412" s="18" t="s">
        <v>13</v>
      </c>
      <c r="L412" s="18" t="s">
        <v>125</v>
      </c>
      <c r="M412" s="18" t="s">
        <v>125</v>
      </c>
      <c r="N412" s="18" t="s">
        <v>125</v>
      </c>
      <c r="O412" s="18"/>
      <c r="P412" s="19" t="n">
        <v>46174.5</v>
      </c>
      <c r="Q412" s="19" t="n">
        <v>46174.875</v>
      </c>
      <c r="R412" s="19" t="n">
        <v>46176.7083333333</v>
      </c>
      <c r="S412" s="20" t="n">
        <f aca="false">ROUND((Q412-P412)*24,4)</f>
        <v>9</v>
      </c>
      <c r="T412" s="18" t="str">
        <f aca="false">TEXT(P412,"YYYY-MM")</f>
        <v>2026-06</v>
      </c>
      <c r="U412" s="18" t="n">
        <f aca="false">RANK(S412,$S$2:$S$670)+COUNTIF($S$2:S412,S412)-1</f>
        <v>159</v>
      </c>
      <c r="V412" s="20" t="n">
        <f aca="false">ROUND((R412-Q412)*24,4)</f>
        <v>44</v>
      </c>
      <c r="W412" s="20" t="n">
        <f aca="false">ROUND((R412-P412)*24,4)</f>
        <v>53</v>
      </c>
      <c r="X412" s="18" t="str">
        <f aca="false">TEXT(P412,"dddd")</f>
        <v>Monday</v>
      </c>
      <c r="Y412" s="18" t="n">
        <f aca="false">HOUR(Q412)</f>
        <v>21</v>
      </c>
    </row>
    <row r="413" customFormat="false" ht="15" hidden="false" customHeight="false" outlineLevel="0" collapsed="false">
      <c r="A413" s="18" t="s">
        <v>32</v>
      </c>
      <c r="B413" s="18" t="s">
        <v>188</v>
      </c>
      <c r="C413" s="18" t="s">
        <v>189</v>
      </c>
      <c r="D413" s="18" t="s">
        <v>46</v>
      </c>
      <c r="E413" s="18" t="s">
        <v>176</v>
      </c>
      <c r="F413" s="18" t="n">
        <v>2606</v>
      </c>
      <c r="G413" s="18" t="s">
        <v>125</v>
      </c>
      <c r="H413" s="18" t="s">
        <v>270</v>
      </c>
      <c r="I413" s="18" t="s">
        <v>23</v>
      </c>
      <c r="J413" s="18" t="s">
        <v>13</v>
      </c>
      <c r="K413" s="18" t="s">
        <v>309</v>
      </c>
      <c r="L413" s="18" t="s">
        <v>125</v>
      </c>
      <c r="M413" s="18" t="s">
        <v>125</v>
      </c>
      <c r="N413" s="18" t="s">
        <v>125</v>
      </c>
      <c r="O413" s="18"/>
      <c r="P413" s="19" t="n">
        <v>46174.875</v>
      </c>
      <c r="Q413" s="19" t="n">
        <v>46175.325</v>
      </c>
      <c r="R413" s="19" t="n">
        <v>46175.8291666667</v>
      </c>
      <c r="S413" s="20" t="n">
        <f aca="false">ROUND((Q413-P413)*24,4)</f>
        <v>10.8</v>
      </c>
      <c r="T413" s="18" t="str">
        <f aca="false">TEXT(P413,"YYYY-MM")</f>
        <v>2026-06</v>
      </c>
      <c r="U413" s="18" t="n">
        <f aca="false">RANK(S413,$S$2:$S$670)+COUNTIF($S$2:S413,S413)-1</f>
        <v>134</v>
      </c>
      <c r="V413" s="20" t="n">
        <f aca="false">ROUND((R413-Q413)*24,4)</f>
        <v>12.1</v>
      </c>
      <c r="W413" s="20" t="n">
        <f aca="false">ROUND((R413-P413)*24,4)</f>
        <v>22.9</v>
      </c>
      <c r="X413" s="18" t="str">
        <f aca="false">TEXT(P413,"dddd")</f>
        <v>Monday</v>
      </c>
      <c r="Y413" s="18" t="n">
        <f aca="false">HOUR(Q413)</f>
        <v>7</v>
      </c>
    </row>
    <row r="414" customFormat="false" ht="15" hidden="false" customHeight="false" outlineLevel="0" collapsed="false">
      <c r="A414" s="18" t="s">
        <v>36</v>
      </c>
      <c r="B414" s="18" t="s">
        <v>265</v>
      </c>
      <c r="C414" s="18" t="s">
        <v>266</v>
      </c>
      <c r="D414" s="18" t="s">
        <v>47</v>
      </c>
      <c r="E414" s="18" t="s">
        <v>168</v>
      </c>
      <c r="F414" s="18" t="n">
        <v>2605</v>
      </c>
      <c r="G414" s="18" t="s">
        <v>127</v>
      </c>
      <c r="H414" s="18" t="s">
        <v>304</v>
      </c>
      <c r="I414" s="18" t="s">
        <v>24</v>
      </c>
      <c r="J414" s="18" t="s">
        <v>13</v>
      </c>
      <c r="K414" s="18" t="s">
        <v>12</v>
      </c>
      <c r="L414" s="18" t="s">
        <v>125</v>
      </c>
      <c r="M414" s="18" t="s">
        <v>125</v>
      </c>
      <c r="N414" s="18" t="s">
        <v>125</v>
      </c>
      <c r="O414" s="18"/>
      <c r="P414" s="19" t="n">
        <v>46174.875</v>
      </c>
      <c r="Q414" s="19" t="n">
        <v>46174.9166666667</v>
      </c>
      <c r="R414" s="19" t="n">
        <v>46175.25</v>
      </c>
      <c r="S414" s="20" t="n">
        <f aca="false">ROUND((Q414-P414)*24,4)</f>
        <v>1</v>
      </c>
      <c r="T414" s="18" t="str">
        <f aca="false">TEXT(P414,"YYYY-MM")</f>
        <v>2026-06</v>
      </c>
      <c r="U414" s="18" t="n">
        <f aca="false">RANK(S414,$S$2:$S$670)+COUNTIF($S$2:S414,S414)-1</f>
        <v>493</v>
      </c>
      <c r="V414" s="20" t="n">
        <f aca="false">ROUND((R414-Q414)*24,4)</f>
        <v>8</v>
      </c>
      <c r="W414" s="20" t="n">
        <f aca="false">ROUND((R414-P414)*24,4)</f>
        <v>9</v>
      </c>
      <c r="X414" s="18" t="str">
        <f aca="false">TEXT(P414,"dddd")</f>
        <v>Monday</v>
      </c>
      <c r="Y414" s="18" t="n">
        <f aca="false">HOUR(Q414)</f>
        <v>22</v>
      </c>
    </row>
    <row r="415" customFormat="false" ht="15" hidden="false" customHeight="false" outlineLevel="0" collapsed="false">
      <c r="A415" s="18" t="s">
        <v>36</v>
      </c>
      <c r="B415" s="18" t="s">
        <v>265</v>
      </c>
      <c r="C415" s="18" t="s">
        <v>266</v>
      </c>
      <c r="D415" s="18" t="s">
        <v>47</v>
      </c>
      <c r="E415" s="18" t="s">
        <v>163</v>
      </c>
      <c r="F415" s="18" t="n">
        <v>2605</v>
      </c>
      <c r="G415" s="18" t="s">
        <v>125</v>
      </c>
      <c r="H415" s="18" t="s">
        <v>305</v>
      </c>
      <c r="I415" s="18" t="s">
        <v>17</v>
      </c>
      <c r="J415" s="18" t="s">
        <v>12</v>
      </c>
      <c r="K415" s="18" t="s">
        <v>13</v>
      </c>
      <c r="L415" s="18" t="s">
        <v>125</v>
      </c>
      <c r="M415" s="18" t="s">
        <v>125</v>
      </c>
      <c r="N415" s="18" t="s">
        <v>125</v>
      </c>
      <c r="O415" s="18"/>
      <c r="P415" s="19" t="n">
        <v>46175.375</v>
      </c>
      <c r="Q415" s="19" t="n">
        <v>46175.8333333333</v>
      </c>
      <c r="R415" s="19" t="n">
        <v>46176.9930555556</v>
      </c>
      <c r="S415" s="20" t="n">
        <f aca="false">ROUND((Q415-P415)*24,4)</f>
        <v>11</v>
      </c>
      <c r="T415" s="18" t="str">
        <f aca="false">TEXT(P415,"YYYY-MM")</f>
        <v>2026-06</v>
      </c>
      <c r="U415" s="18" t="n">
        <f aca="false">RANK(S415,$S$2:$S$670)+COUNTIF($S$2:S415,S415)-1</f>
        <v>126</v>
      </c>
      <c r="V415" s="20" t="n">
        <f aca="false">ROUND((R415-Q415)*24,4)</f>
        <v>27.8333</v>
      </c>
      <c r="W415" s="20" t="n">
        <f aca="false">ROUND((R415-P415)*24,4)</f>
        <v>38.8333</v>
      </c>
      <c r="X415" s="18" t="str">
        <f aca="false">TEXT(P415,"dddd")</f>
        <v>Tuesday</v>
      </c>
      <c r="Y415" s="18" t="n">
        <f aca="false">HOUR(Q415)</f>
        <v>20</v>
      </c>
    </row>
    <row r="416" customFormat="false" ht="15" hidden="false" customHeight="false" outlineLevel="0" collapsed="false">
      <c r="A416" s="18" t="s">
        <v>34</v>
      </c>
      <c r="B416" s="18" t="s">
        <v>171</v>
      </c>
      <c r="C416" s="18" t="s">
        <v>172</v>
      </c>
      <c r="D416" s="18" t="s">
        <v>47</v>
      </c>
      <c r="E416" s="18" t="s">
        <v>185</v>
      </c>
      <c r="F416" s="18" t="n">
        <v>2606</v>
      </c>
      <c r="G416" s="18" t="s">
        <v>125</v>
      </c>
      <c r="H416" s="18" t="s">
        <v>270</v>
      </c>
      <c r="I416" s="18" t="s">
        <v>23</v>
      </c>
      <c r="J416" s="18" t="s">
        <v>13</v>
      </c>
      <c r="K416" s="18" t="s">
        <v>165</v>
      </c>
      <c r="L416" s="18" t="s">
        <v>125</v>
      </c>
      <c r="M416" s="18" t="s">
        <v>125</v>
      </c>
      <c r="N416" s="18" t="s">
        <v>125</v>
      </c>
      <c r="O416" s="18"/>
      <c r="P416" s="19" t="n">
        <v>46175.8333333333</v>
      </c>
      <c r="Q416" s="19" t="n">
        <v>46175.9166666667</v>
      </c>
      <c r="R416" s="19" t="n">
        <v>46176.2916666667</v>
      </c>
      <c r="S416" s="20" t="n">
        <f aca="false">ROUND((Q416-P416)*24,4)</f>
        <v>2</v>
      </c>
      <c r="T416" s="18" t="str">
        <f aca="false">TEXT(P416,"YYYY-MM")</f>
        <v>2026-06</v>
      </c>
      <c r="U416" s="18" t="n">
        <f aca="false">RANK(S416,$S$2:$S$670)+COUNTIF($S$2:S416,S416)-1</f>
        <v>332</v>
      </c>
      <c r="V416" s="20" t="n">
        <f aca="false">ROUND((R416-Q416)*24,4)</f>
        <v>9</v>
      </c>
      <c r="W416" s="20" t="n">
        <f aca="false">ROUND((R416-P416)*24,4)</f>
        <v>11</v>
      </c>
      <c r="X416" s="18" t="str">
        <f aca="false">TEXT(P416,"dddd")</f>
        <v>Tuesday</v>
      </c>
      <c r="Y416" s="18" t="n">
        <f aca="false">HOUR(Q416)</f>
        <v>22</v>
      </c>
    </row>
    <row r="417" customFormat="false" ht="15" hidden="false" customHeight="false" outlineLevel="0" collapsed="false">
      <c r="A417" s="18" t="s">
        <v>38</v>
      </c>
      <c r="B417" s="18" t="s">
        <v>211</v>
      </c>
      <c r="C417" s="18" t="s">
        <v>212</v>
      </c>
      <c r="D417" s="18" t="s">
        <v>47</v>
      </c>
      <c r="E417" s="18" t="s">
        <v>163</v>
      </c>
      <c r="F417" s="18" t="n">
        <v>2604</v>
      </c>
      <c r="G417" s="18" t="s">
        <v>127</v>
      </c>
      <c r="H417" s="18" t="s">
        <v>293</v>
      </c>
      <c r="I417" s="18" t="s">
        <v>23</v>
      </c>
      <c r="J417" s="18" t="s">
        <v>13</v>
      </c>
      <c r="K417" s="18" t="s">
        <v>181</v>
      </c>
      <c r="L417" s="18" t="s">
        <v>125</v>
      </c>
      <c r="M417" s="18" t="s">
        <v>125</v>
      </c>
      <c r="N417" s="18" t="s">
        <v>125</v>
      </c>
      <c r="O417" s="18"/>
      <c r="P417" s="19" t="n">
        <v>46176.3333333333</v>
      </c>
      <c r="Q417" s="19" t="n">
        <v>46176.5833333333</v>
      </c>
      <c r="R417" s="19" t="n">
        <v>46177.375</v>
      </c>
      <c r="S417" s="20" t="n">
        <f aca="false">ROUND((Q417-P417)*24,4)</f>
        <v>6</v>
      </c>
      <c r="T417" s="18" t="str">
        <f aca="false">TEXT(P417,"YYYY-MM")</f>
        <v>2026-06</v>
      </c>
      <c r="U417" s="18" t="n">
        <f aca="false">RANK(S417,$S$2:$S$670)+COUNTIF($S$2:S417,S417)-1</f>
        <v>215</v>
      </c>
      <c r="V417" s="20" t="n">
        <f aca="false">ROUND((R417-Q417)*24,4)</f>
        <v>19</v>
      </c>
      <c r="W417" s="20" t="n">
        <f aca="false">ROUND((R417-P417)*24,4)</f>
        <v>25</v>
      </c>
      <c r="X417" s="18" t="str">
        <f aca="false">TEXT(P417,"dddd")</f>
        <v>Wednesday</v>
      </c>
      <c r="Y417" s="18" t="n">
        <f aca="false">HOUR(Q417)</f>
        <v>14</v>
      </c>
    </row>
    <row r="418" customFormat="false" ht="15" hidden="false" customHeight="false" outlineLevel="0" collapsed="false">
      <c r="A418" s="18" t="s">
        <v>35</v>
      </c>
      <c r="B418" s="18" t="s">
        <v>228</v>
      </c>
      <c r="C418" s="18" t="s">
        <v>229</v>
      </c>
      <c r="D418" s="18" t="s">
        <v>52</v>
      </c>
      <c r="E418" s="18" t="s">
        <v>198</v>
      </c>
      <c r="F418" s="18" t="n">
        <v>2605</v>
      </c>
      <c r="G418" s="18" t="s">
        <v>127</v>
      </c>
      <c r="H418" s="18" t="s">
        <v>304</v>
      </c>
      <c r="I418" s="18" t="s">
        <v>24</v>
      </c>
      <c r="J418" s="18" t="s">
        <v>13</v>
      </c>
      <c r="K418" s="18" t="s">
        <v>12</v>
      </c>
      <c r="L418" s="18" t="s">
        <v>125</v>
      </c>
      <c r="M418" s="18" t="s">
        <v>125</v>
      </c>
      <c r="N418" s="18" t="s">
        <v>125</v>
      </c>
      <c r="O418" s="18"/>
      <c r="P418" s="19" t="n">
        <v>46176.8333333333</v>
      </c>
      <c r="Q418" s="19" t="n">
        <v>46176.875</v>
      </c>
      <c r="R418" s="19" t="n">
        <v>46177.375</v>
      </c>
      <c r="S418" s="20" t="n">
        <f aca="false">ROUND((Q418-P418)*24,4)</f>
        <v>1</v>
      </c>
      <c r="T418" s="18" t="str">
        <f aca="false">TEXT(P418,"YYYY-MM")</f>
        <v>2026-06</v>
      </c>
      <c r="U418" s="18" t="n">
        <f aca="false">RANK(S418,$S$2:$S$670)+COUNTIF($S$2:S418,S418)-1</f>
        <v>494</v>
      </c>
      <c r="V418" s="20" t="n">
        <f aca="false">ROUND((R418-Q418)*24,4)</f>
        <v>12</v>
      </c>
      <c r="W418" s="20" t="n">
        <f aca="false">ROUND((R418-P418)*24,4)</f>
        <v>13</v>
      </c>
      <c r="X418" s="18" t="str">
        <f aca="false">TEXT(P418,"dddd")</f>
        <v>Wednesday</v>
      </c>
      <c r="Y418" s="18" t="n">
        <f aca="false">HOUR(Q418)</f>
        <v>21</v>
      </c>
    </row>
    <row r="419" customFormat="false" ht="15" hidden="false" customHeight="false" outlineLevel="0" collapsed="false">
      <c r="A419" s="18" t="s">
        <v>37</v>
      </c>
      <c r="B419" s="18" t="s">
        <v>196</v>
      </c>
      <c r="C419" s="18" t="s">
        <v>197</v>
      </c>
      <c r="D419" s="18" t="s">
        <v>46</v>
      </c>
      <c r="E419" s="18" t="s">
        <v>185</v>
      </c>
      <c r="F419" s="18" t="n">
        <v>2605</v>
      </c>
      <c r="G419" s="18" t="s">
        <v>125</v>
      </c>
      <c r="H419" s="18" t="s">
        <v>305</v>
      </c>
      <c r="I419" s="18" t="s">
        <v>20</v>
      </c>
      <c r="J419" s="18" t="s">
        <v>13</v>
      </c>
      <c r="K419" s="18" t="s">
        <v>165</v>
      </c>
      <c r="L419" s="18" t="s">
        <v>125</v>
      </c>
      <c r="M419" s="18" t="s">
        <v>125</v>
      </c>
      <c r="N419" s="18" t="s">
        <v>125</v>
      </c>
      <c r="O419" s="18"/>
      <c r="P419" s="19" t="n">
        <v>46176.9166666667</v>
      </c>
      <c r="Q419" s="19" t="n">
        <v>46177.2083333333</v>
      </c>
      <c r="R419" s="19" t="n">
        <v>46177.7083333333</v>
      </c>
      <c r="S419" s="20" t="n">
        <f aca="false">ROUND((Q419-P419)*24,4)</f>
        <v>7</v>
      </c>
      <c r="T419" s="18" t="str">
        <f aca="false">TEXT(P419,"YYYY-MM")</f>
        <v>2026-06</v>
      </c>
      <c r="U419" s="18" t="n">
        <f aca="false">RANK(S419,$S$2:$S$670)+COUNTIF($S$2:S419,S419)-1</f>
        <v>190</v>
      </c>
      <c r="V419" s="20" t="n">
        <f aca="false">ROUND((R419-Q419)*24,4)</f>
        <v>12</v>
      </c>
      <c r="W419" s="20" t="n">
        <f aca="false">ROUND((R419-P419)*24,4)</f>
        <v>19</v>
      </c>
      <c r="X419" s="18" t="str">
        <f aca="false">TEXT(P419,"dddd")</f>
        <v>Wednesday</v>
      </c>
      <c r="Y419" s="18" t="n">
        <f aca="false">HOUR(Q419)</f>
        <v>5</v>
      </c>
    </row>
    <row r="420" customFormat="false" ht="15" hidden="false" customHeight="false" outlineLevel="0" collapsed="false">
      <c r="A420" s="18" t="s">
        <v>31</v>
      </c>
      <c r="B420" s="18" t="s">
        <v>291</v>
      </c>
      <c r="C420" s="18" t="s">
        <v>292</v>
      </c>
      <c r="D420" s="18" t="s">
        <v>53</v>
      </c>
      <c r="E420" s="18" t="s">
        <v>198</v>
      </c>
      <c r="F420" s="18" t="n">
        <v>2604</v>
      </c>
      <c r="G420" s="18" t="s">
        <v>127</v>
      </c>
      <c r="H420" s="18" t="s">
        <v>293</v>
      </c>
      <c r="I420" s="18" t="s">
        <v>24</v>
      </c>
      <c r="J420" s="18" t="s">
        <v>13</v>
      </c>
      <c r="K420" s="18" t="s">
        <v>12</v>
      </c>
      <c r="L420" s="18" t="s">
        <v>144</v>
      </c>
      <c r="M420" s="18" t="s">
        <v>125</v>
      </c>
      <c r="N420" s="18" t="s">
        <v>125</v>
      </c>
      <c r="O420" s="18" t="s">
        <v>308</v>
      </c>
      <c r="P420" s="19" t="n">
        <v>46177.1256944445</v>
      </c>
      <c r="Q420" s="19" t="n">
        <v>46177.1263888889</v>
      </c>
      <c r="R420" s="19" t="n">
        <v>46177.1270833333</v>
      </c>
      <c r="S420" s="20" t="n">
        <f aca="false">ROUND((Q420-P420)*24,4)</f>
        <v>0.0167</v>
      </c>
      <c r="T420" s="18" t="str">
        <f aca="false">TEXT(P420,"YYYY-MM")</f>
        <v>2026-06</v>
      </c>
      <c r="U420" s="18" t="n">
        <f aca="false">RANK(S420,$S$2:$S$670)+COUNTIF($S$2:S420,S420)-1</f>
        <v>649</v>
      </c>
      <c r="V420" s="20" t="n">
        <f aca="false">ROUND((R420-Q420)*24,4)</f>
        <v>0.0167</v>
      </c>
      <c r="W420" s="20" t="n">
        <f aca="false">ROUND((R420-P420)*24,4)</f>
        <v>0.0333</v>
      </c>
      <c r="X420" s="18" t="str">
        <f aca="false">TEXT(P420,"dddd")</f>
        <v>Thursday</v>
      </c>
      <c r="Y420" s="18" t="n">
        <f aca="false">HOUR(Q420)</f>
        <v>3</v>
      </c>
    </row>
    <row r="421" customFormat="false" ht="15" hidden="false" customHeight="false" outlineLevel="0" collapsed="false">
      <c r="A421" s="18" t="s">
        <v>31</v>
      </c>
      <c r="B421" s="18" t="s">
        <v>291</v>
      </c>
      <c r="C421" s="18" t="s">
        <v>292</v>
      </c>
      <c r="D421" s="18" t="s">
        <v>53</v>
      </c>
      <c r="E421" s="18" t="s">
        <v>168</v>
      </c>
      <c r="F421" s="18" t="n">
        <v>2604</v>
      </c>
      <c r="G421" s="18" t="s">
        <v>125</v>
      </c>
      <c r="H421" s="18" t="s">
        <v>294</v>
      </c>
      <c r="I421" s="18" t="s">
        <v>18</v>
      </c>
      <c r="J421" s="18" t="s">
        <v>12</v>
      </c>
      <c r="K421" s="18" t="s">
        <v>13</v>
      </c>
      <c r="L421" s="18" t="s">
        <v>144</v>
      </c>
      <c r="M421" s="18" t="s">
        <v>125</v>
      </c>
      <c r="N421" s="18" t="s">
        <v>125</v>
      </c>
      <c r="O421" s="18" t="s">
        <v>308</v>
      </c>
      <c r="P421" s="19" t="n">
        <v>46177.1277777778</v>
      </c>
      <c r="Q421" s="19" t="n">
        <v>46177.1284722222</v>
      </c>
      <c r="R421" s="19" t="n">
        <v>46177.1291666667</v>
      </c>
      <c r="S421" s="20" t="n">
        <f aca="false">ROUND((Q421-P421)*24,4)</f>
        <v>0.0167</v>
      </c>
      <c r="T421" s="18" t="str">
        <f aca="false">TEXT(P421,"YYYY-MM")</f>
        <v>2026-06</v>
      </c>
      <c r="U421" s="18" t="n">
        <f aca="false">RANK(S421,$S$2:$S$670)+COUNTIF($S$2:S421,S421)-1</f>
        <v>650</v>
      </c>
      <c r="V421" s="20" t="n">
        <f aca="false">ROUND((R421-Q421)*24,4)</f>
        <v>0.0167</v>
      </c>
      <c r="W421" s="20" t="n">
        <f aca="false">ROUND((R421-P421)*24,4)</f>
        <v>0.0333</v>
      </c>
      <c r="X421" s="18" t="str">
        <f aca="false">TEXT(P421,"dddd")</f>
        <v>Thursday</v>
      </c>
      <c r="Y421" s="18" t="n">
        <f aca="false">HOUR(Q421)</f>
        <v>3</v>
      </c>
    </row>
    <row r="422" customFormat="false" ht="15" hidden="false" customHeight="false" outlineLevel="0" collapsed="false">
      <c r="A422" s="18" t="s">
        <v>36</v>
      </c>
      <c r="B422" s="18" t="s">
        <v>265</v>
      </c>
      <c r="C422" s="18" t="s">
        <v>266</v>
      </c>
      <c r="D422" s="18" t="s">
        <v>47</v>
      </c>
      <c r="E422" s="18" t="s">
        <v>176</v>
      </c>
      <c r="F422" s="18" t="n">
        <v>2605</v>
      </c>
      <c r="G422" s="18" t="s">
        <v>125</v>
      </c>
      <c r="H422" s="18" t="s">
        <v>305</v>
      </c>
      <c r="I422" s="18" t="s">
        <v>23</v>
      </c>
      <c r="J422" s="18" t="s">
        <v>13</v>
      </c>
      <c r="K422" s="18" t="s">
        <v>303</v>
      </c>
      <c r="L422" s="18" t="s">
        <v>125</v>
      </c>
      <c r="M422" s="18" t="s">
        <v>125</v>
      </c>
      <c r="N422" s="18" t="s">
        <v>125</v>
      </c>
      <c r="O422" s="18"/>
      <c r="P422" s="19" t="n">
        <v>46177.2083333333</v>
      </c>
      <c r="Q422" s="19" t="n">
        <v>46177.5</v>
      </c>
      <c r="R422" s="19" t="n">
        <v>46177.9583333333</v>
      </c>
      <c r="S422" s="20" t="n">
        <f aca="false">ROUND((Q422-P422)*24,4)</f>
        <v>7</v>
      </c>
      <c r="T422" s="18" t="str">
        <f aca="false">TEXT(P422,"YYYY-MM")</f>
        <v>2026-06</v>
      </c>
      <c r="U422" s="18" t="n">
        <f aca="false">RANK(S422,$S$2:$S$670)+COUNTIF($S$2:S422,S422)-1</f>
        <v>191</v>
      </c>
      <c r="V422" s="20" t="n">
        <f aca="false">ROUND((R422-Q422)*24,4)</f>
        <v>11</v>
      </c>
      <c r="W422" s="20" t="n">
        <f aca="false">ROUND((R422-P422)*24,4)</f>
        <v>18</v>
      </c>
      <c r="X422" s="18" t="str">
        <f aca="false">TEXT(P422,"dddd")</f>
        <v>Thursday</v>
      </c>
      <c r="Y422" s="18" t="n">
        <f aca="false">HOUR(Q422)</f>
        <v>12</v>
      </c>
    </row>
    <row r="423" customFormat="false" ht="15" hidden="false" customHeight="false" outlineLevel="0" collapsed="false">
      <c r="A423" s="18" t="s">
        <v>35</v>
      </c>
      <c r="B423" s="18" t="s">
        <v>228</v>
      </c>
      <c r="C423" s="18" t="s">
        <v>229</v>
      </c>
      <c r="D423" s="18" t="s">
        <v>52</v>
      </c>
      <c r="E423" s="18" t="s">
        <v>168</v>
      </c>
      <c r="F423" s="18" t="n">
        <v>2605</v>
      </c>
      <c r="G423" s="18" t="s">
        <v>125</v>
      </c>
      <c r="H423" s="18" t="s">
        <v>305</v>
      </c>
      <c r="I423" s="18" t="s">
        <v>19</v>
      </c>
      <c r="J423" s="18" t="s">
        <v>12</v>
      </c>
      <c r="K423" s="18" t="s">
        <v>13</v>
      </c>
      <c r="L423" s="18" t="s">
        <v>125</v>
      </c>
      <c r="M423" s="18" t="s">
        <v>125</v>
      </c>
      <c r="N423" s="18" t="s">
        <v>125</v>
      </c>
      <c r="O423" s="18"/>
      <c r="P423" s="19" t="n">
        <v>46177.4166666667</v>
      </c>
      <c r="Q423" s="19" t="n">
        <v>46177.9583333333</v>
      </c>
      <c r="R423" s="19" t="n">
        <v>46179.75</v>
      </c>
      <c r="S423" s="20" t="n">
        <f aca="false">ROUND((Q423-P423)*24,4)</f>
        <v>13</v>
      </c>
      <c r="T423" s="18" t="str">
        <f aca="false">TEXT(P423,"YYYY-MM")</f>
        <v>2026-06</v>
      </c>
      <c r="U423" s="18" t="n">
        <f aca="false">RANK(S423,$S$2:$S$670)+COUNTIF($S$2:S423,S423)-1</f>
        <v>108</v>
      </c>
      <c r="V423" s="20" t="n">
        <f aca="false">ROUND((R423-Q423)*24,4)</f>
        <v>43</v>
      </c>
      <c r="W423" s="20" t="n">
        <f aca="false">ROUND((R423-P423)*24,4)</f>
        <v>56</v>
      </c>
      <c r="X423" s="18" t="str">
        <f aca="false">TEXT(P423,"dddd")</f>
        <v>Thursday</v>
      </c>
      <c r="Y423" s="18" t="n">
        <f aca="false">HOUR(Q423)</f>
        <v>23</v>
      </c>
    </row>
    <row r="424" customFormat="false" ht="15" hidden="false" customHeight="false" outlineLevel="0" collapsed="false">
      <c r="A424" s="18" t="s">
        <v>31</v>
      </c>
      <c r="B424" s="18" t="s">
        <v>312</v>
      </c>
      <c r="C424" s="18" t="s">
        <v>313</v>
      </c>
      <c r="D424" s="18" t="s">
        <v>47</v>
      </c>
      <c r="E424" s="18" t="s">
        <v>198</v>
      </c>
      <c r="F424" s="18" t="n">
        <v>2607</v>
      </c>
      <c r="G424" s="18" t="s">
        <v>127</v>
      </c>
      <c r="H424" s="18" t="s">
        <v>289</v>
      </c>
      <c r="I424" s="18" t="s">
        <v>24</v>
      </c>
      <c r="J424" s="18" t="s">
        <v>13</v>
      </c>
      <c r="K424" s="18" t="s">
        <v>12</v>
      </c>
      <c r="L424" s="18" t="s">
        <v>144</v>
      </c>
      <c r="M424" s="18" t="s">
        <v>125</v>
      </c>
      <c r="N424" s="18" t="s">
        <v>125</v>
      </c>
      <c r="O424" s="18" t="s">
        <v>314</v>
      </c>
      <c r="P424" s="19" t="n">
        <v>46178.6631944445</v>
      </c>
      <c r="Q424" s="19" t="n">
        <v>46178.6638888889</v>
      </c>
      <c r="R424" s="19" t="n">
        <v>46178.6645833333</v>
      </c>
      <c r="S424" s="20" t="n">
        <f aca="false">ROUND((Q424-P424)*24,4)</f>
        <v>0.0167</v>
      </c>
      <c r="T424" s="18" t="str">
        <f aca="false">TEXT(P424,"YYYY-MM")</f>
        <v>2026-06</v>
      </c>
      <c r="U424" s="18" t="n">
        <f aca="false">RANK(S424,$S$2:$S$670)+COUNTIF($S$2:S424,S424)-1</f>
        <v>651</v>
      </c>
      <c r="V424" s="20" t="n">
        <f aca="false">ROUND((R424-Q424)*24,4)</f>
        <v>0.0167</v>
      </c>
      <c r="W424" s="20" t="n">
        <f aca="false">ROUND((R424-P424)*24,4)</f>
        <v>0.0333</v>
      </c>
      <c r="X424" s="18" t="str">
        <f aca="false">TEXT(P424,"dddd")</f>
        <v>Friday</v>
      </c>
      <c r="Y424" s="18" t="n">
        <f aca="false">HOUR(Q424)</f>
        <v>15</v>
      </c>
    </row>
    <row r="425" customFormat="false" ht="15" hidden="false" customHeight="false" outlineLevel="0" collapsed="false">
      <c r="A425" s="18" t="s">
        <v>31</v>
      </c>
      <c r="B425" s="18" t="s">
        <v>312</v>
      </c>
      <c r="C425" s="18" t="s">
        <v>313</v>
      </c>
      <c r="D425" s="18" t="s">
        <v>47</v>
      </c>
      <c r="E425" s="18" t="s">
        <v>168</v>
      </c>
      <c r="F425" s="18" t="n">
        <v>2607</v>
      </c>
      <c r="G425" s="18" t="s">
        <v>125</v>
      </c>
      <c r="H425" s="18" t="s">
        <v>290</v>
      </c>
      <c r="I425" s="18" t="s">
        <v>18</v>
      </c>
      <c r="J425" s="18" t="s">
        <v>12</v>
      </c>
      <c r="K425" s="18" t="s">
        <v>13</v>
      </c>
      <c r="L425" s="18" t="s">
        <v>144</v>
      </c>
      <c r="M425" s="18" t="s">
        <v>125</v>
      </c>
      <c r="N425" s="18" t="s">
        <v>125</v>
      </c>
      <c r="O425" s="18" t="s">
        <v>314</v>
      </c>
      <c r="P425" s="19" t="n">
        <v>46178.6652777778</v>
      </c>
      <c r="Q425" s="19" t="n">
        <v>46178.6659722222</v>
      </c>
      <c r="R425" s="19" t="n">
        <v>46178.6666666667</v>
      </c>
      <c r="S425" s="20" t="n">
        <f aca="false">ROUND((Q425-P425)*24,4)</f>
        <v>0.0167</v>
      </c>
      <c r="T425" s="18" t="str">
        <f aca="false">TEXT(P425,"YYYY-MM")</f>
        <v>2026-06</v>
      </c>
      <c r="U425" s="18" t="n">
        <f aca="false">RANK(S425,$S$2:$S$670)+COUNTIF($S$2:S425,S425)-1</f>
        <v>652</v>
      </c>
      <c r="V425" s="20" t="n">
        <f aca="false">ROUND((R425-Q425)*24,4)</f>
        <v>0.0167</v>
      </c>
      <c r="W425" s="20" t="n">
        <f aca="false">ROUND((R425-P425)*24,4)</f>
        <v>0.0333</v>
      </c>
      <c r="X425" s="18" t="str">
        <f aca="false">TEXT(P425,"dddd")</f>
        <v>Friday</v>
      </c>
      <c r="Y425" s="18" t="n">
        <f aca="false">HOUR(Q425)</f>
        <v>15</v>
      </c>
    </row>
    <row r="426" customFormat="false" ht="15" hidden="false" customHeight="false" outlineLevel="0" collapsed="false">
      <c r="A426" s="18" t="s">
        <v>31</v>
      </c>
      <c r="B426" s="18" t="s">
        <v>291</v>
      </c>
      <c r="C426" s="18" t="s">
        <v>292</v>
      </c>
      <c r="D426" s="18" t="s">
        <v>53</v>
      </c>
      <c r="E426" s="18" t="s">
        <v>163</v>
      </c>
      <c r="F426" s="18" t="n">
        <v>2604</v>
      </c>
      <c r="G426" s="18" t="s">
        <v>125</v>
      </c>
      <c r="H426" s="18" t="s">
        <v>294</v>
      </c>
      <c r="I426" s="18" t="s">
        <v>28</v>
      </c>
      <c r="J426" s="18" t="s">
        <v>13</v>
      </c>
      <c r="K426" s="18" t="s">
        <v>165</v>
      </c>
      <c r="L426" s="18" t="s">
        <v>125</v>
      </c>
      <c r="M426" s="18" t="s">
        <v>125</v>
      </c>
      <c r="N426" s="18" t="s">
        <v>125</v>
      </c>
      <c r="O426" s="18" t="s">
        <v>308</v>
      </c>
      <c r="P426" s="19" t="n">
        <v>46179.7916666667</v>
      </c>
      <c r="Q426" s="19" t="n">
        <v>46179.8333333333</v>
      </c>
      <c r="R426" s="19" t="n">
        <v>46180.6875</v>
      </c>
      <c r="S426" s="20" t="n">
        <f aca="false">ROUND((Q426-P426)*24,4)</f>
        <v>1</v>
      </c>
      <c r="T426" s="18" t="str">
        <f aca="false">TEXT(P426,"YYYY-MM")</f>
        <v>2026-06</v>
      </c>
      <c r="U426" s="18" t="n">
        <f aca="false">RANK(S426,$S$2:$S$670)+COUNTIF($S$2:S426,S426)-1</f>
        <v>495</v>
      </c>
      <c r="V426" s="20" t="n">
        <f aca="false">ROUND((R426-Q426)*24,4)</f>
        <v>20.5</v>
      </c>
      <c r="W426" s="20" t="n">
        <f aca="false">ROUND((R426-P426)*24,4)</f>
        <v>21.5</v>
      </c>
      <c r="X426" s="18" t="str">
        <f aca="false">TEXT(P426,"dddd")</f>
        <v>Saturday</v>
      </c>
      <c r="Y426" s="18" t="n">
        <f aca="false">HOUR(Q426)</f>
        <v>20</v>
      </c>
    </row>
    <row r="427" customFormat="false" ht="15" hidden="false" customHeight="false" outlineLevel="0" collapsed="false">
      <c r="A427" s="18" t="s">
        <v>35</v>
      </c>
      <c r="B427" s="18" t="s">
        <v>228</v>
      </c>
      <c r="C427" s="18" t="s">
        <v>229</v>
      </c>
      <c r="D427" s="18" t="s">
        <v>52</v>
      </c>
      <c r="E427" s="18" t="s">
        <v>163</v>
      </c>
      <c r="F427" s="18" t="n">
        <v>2605</v>
      </c>
      <c r="G427" s="18" t="s">
        <v>125</v>
      </c>
      <c r="H427" s="18" t="s">
        <v>305</v>
      </c>
      <c r="I427" s="18" t="s">
        <v>24</v>
      </c>
      <c r="J427" s="18" t="s">
        <v>13</v>
      </c>
      <c r="K427" s="18" t="s">
        <v>186</v>
      </c>
      <c r="L427" s="18" t="s">
        <v>125</v>
      </c>
      <c r="M427" s="18" t="s">
        <v>125</v>
      </c>
      <c r="N427" s="18" t="s">
        <v>125</v>
      </c>
      <c r="O427" s="18"/>
      <c r="P427" s="19" t="n">
        <v>46179.9583333333</v>
      </c>
      <c r="Q427" s="19" t="n">
        <v>46180</v>
      </c>
      <c r="R427" s="19" t="n">
        <v>46180.625</v>
      </c>
      <c r="S427" s="20" t="n">
        <f aca="false">ROUND((Q427-P427)*24,4)</f>
        <v>1</v>
      </c>
      <c r="T427" s="18" t="str">
        <f aca="false">TEXT(P427,"YYYY-MM")</f>
        <v>2026-06</v>
      </c>
      <c r="U427" s="18" t="n">
        <f aca="false">RANK(S427,$S$2:$S$670)+COUNTIF($S$2:S427,S427)-1</f>
        <v>496</v>
      </c>
      <c r="V427" s="20" t="n">
        <f aca="false">ROUND((R427-Q427)*24,4)</f>
        <v>15</v>
      </c>
      <c r="W427" s="20" t="n">
        <f aca="false">ROUND((R427-P427)*24,4)</f>
        <v>16</v>
      </c>
      <c r="X427" s="18" t="str">
        <f aca="false">TEXT(P427,"dddd")</f>
        <v>Saturday</v>
      </c>
      <c r="Y427" s="18" t="n">
        <f aca="false">HOUR(Q427)</f>
        <v>0</v>
      </c>
    </row>
    <row r="428" customFormat="false" ht="15" hidden="false" customHeight="false" outlineLevel="0" collapsed="false">
      <c r="A428" s="18" t="s">
        <v>36</v>
      </c>
      <c r="B428" s="18" t="s">
        <v>267</v>
      </c>
      <c r="C428" s="18" t="s">
        <v>268</v>
      </c>
      <c r="D428" s="18" t="s">
        <v>46</v>
      </c>
      <c r="E428" s="18" t="s">
        <v>168</v>
      </c>
      <c r="F428" s="18" t="n">
        <v>2610</v>
      </c>
      <c r="G428" s="18" t="s">
        <v>127</v>
      </c>
      <c r="H428" s="18" t="s">
        <v>322</v>
      </c>
      <c r="I428" s="18" t="s">
        <v>26</v>
      </c>
      <c r="J428" s="18" t="s">
        <v>13</v>
      </c>
      <c r="K428" s="18" t="s">
        <v>12</v>
      </c>
      <c r="L428" s="18" t="s">
        <v>125</v>
      </c>
      <c r="M428" s="18" t="s">
        <v>125</v>
      </c>
      <c r="N428" s="18" t="s">
        <v>125</v>
      </c>
      <c r="O428" s="18"/>
      <c r="P428" s="19" t="n">
        <v>46180.0416666667</v>
      </c>
      <c r="Q428" s="19" t="n">
        <v>46180.0833333333</v>
      </c>
      <c r="R428" s="19" t="n">
        <v>46180.4166666667</v>
      </c>
      <c r="S428" s="20" t="n">
        <f aca="false">ROUND((Q428-P428)*24,4)</f>
        <v>1</v>
      </c>
      <c r="T428" s="18" t="str">
        <f aca="false">TEXT(P428,"YYYY-MM")</f>
        <v>2026-06</v>
      </c>
      <c r="U428" s="18" t="n">
        <f aca="false">RANK(S428,$S$2:$S$670)+COUNTIF($S$2:S428,S428)-1</f>
        <v>497</v>
      </c>
      <c r="V428" s="20" t="n">
        <f aca="false">ROUND((R428-Q428)*24,4)</f>
        <v>8</v>
      </c>
      <c r="W428" s="20" t="n">
        <f aca="false">ROUND((R428-P428)*24,4)</f>
        <v>9</v>
      </c>
      <c r="X428" s="18" t="str">
        <f aca="false">TEXT(P428,"dddd")</f>
        <v>Sunday</v>
      </c>
      <c r="Y428" s="18" t="n">
        <f aca="false">HOUR(Q428)</f>
        <v>2</v>
      </c>
    </row>
    <row r="429" customFormat="false" ht="15" hidden="false" customHeight="false" outlineLevel="0" collapsed="false">
      <c r="A429" s="18" t="s">
        <v>32</v>
      </c>
      <c r="B429" s="18" t="s">
        <v>225</v>
      </c>
      <c r="C429" s="18" t="s">
        <v>226</v>
      </c>
      <c r="D429" s="18" t="s">
        <v>47</v>
      </c>
      <c r="E429" s="18" t="s">
        <v>168</v>
      </c>
      <c r="F429" s="18" t="n">
        <v>2607</v>
      </c>
      <c r="G429" s="18" t="s">
        <v>127</v>
      </c>
      <c r="H429" s="18" t="s">
        <v>289</v>
      </c>
      <c r="I429" s="18" t="s">
        <v>23</v>
      </c>
      <c r="J429" s="18" t="s">
        <v>13</v>
      </c>
      <c r="K429" s="18" t="s">
        <v>12</v>
      </c>
      <c r="L429" s="18" t="s">
        <v>125</v>
      </c>
      <c r="M429" s="18" t="s">
        <v>125</v>
      </c>
      <c r="N429" s="18" t="s">
        <v>125</v>
      </c>
      <c r="O429" s="18"/>
      <c r="P429" s="19" t="n">
        <v>46180.4166666667</v>
      </c>
      <c r="Q429" s="19" t="n">
        <v>46180.4791666667</v>
      </c>
      <c r="R429" s="19" t="n">
        <v>46180.7083333333</v>
      </c>
      <c r="S429" s="20" t="n">
        <f aca="false">ROUND((Q429-P429)*24,4)</f>
        <v>1.5</v>
      </c>
      <c r="T429" s="18" t="str">
        <f aca="false">TEXT(P429,"YYYY-MM")</f>
        <v>2026-06</v>
      </c>
      <c r="U429" s="18" t="n">
        <f aca="false">RANK(S429,$S$2:$S$670)+COUNTIF($S$2:S429,S429)-1</f>
        <v>359</v>
      </c>
      <c r="V429" s="20" t="n">
        <f aca="false">ROUND((R429-Q429)*24,4)</f>
        <v>5.5</v>
      </c>
      <c r="W429" s="20" t="n">
        <f aca="false">ROUND((R429-P429)*24,4)</f>
        <v>7</v>
      </c>
      <c r="X429" s="18" t="str">
        <f aca="false">TEXT(P429,"dddd")</f>
        <v>Sunday</v>
      </c>
      <c r="Y429" s="18" t="n">
        <f aca="false">HOUR(Q429)</f>
        <v>11</v>
      </c>
    </row>
    <row r="430" customFormat="false" ht="15" hidden="false" customHeight="false" outlineLevel="0" collapsed="false">
      <c r="A430" s="18" t="s">
        <v>36</v>
      </c>
      <c r="B430" s="18" t="s">
        <v>267</v>
      </c>
      <c r="C430" s="18" t="s">
        <v>268</v>
      </c>
      <c r="D430" s="18" t="s">
        <v>46</v>
      </c>
      <c r="E430" s="18" t="s">
        <v>163</v>
      </c>
      <c r="F430" s="18" t="n">
        <v>2610</v>
      </c>
      <c r="G430" s="18" t="s">
        <v>125</v>
      </c>
      <c r="H430" s="18" t="s">
        <v>323</v>
      </c>
      <c r="I430" s="18" t="s">
        <v>17</v>
      </c>
      <c r="J430" s="18" t="s">
        <v>12</v>
      </c>
      <c r="K430" s="18" t="s">
        <v>13</v>
      </c>
      <c r="L430" s="18" t="s">
        <v>125</v>
      </c>
      <c r="M430" s="18" t="s">
        <v>125</v>
      </c>
      <c r="N430" s="18" t="s">
        <v>125</v>
      </c>
      <c r="O430" s="18"/>
      <c r="P430" s="19" t="n">
        <v>46180.5416666667</v>
      </c>
      <c r="Q430" s="19" t="n">
        <v>46180.9930555556</v>
      </c>
      <c r="R430" s="19" t="n">
        <v>46182.8333333333</v>
      </c>
      <c r="S430" s="20" t="n">
        <f aca="false">ROUND((Q430-P430)*24,4)</f>
        <v>10.8333</v>
      </c>
      <c r="T430" s="18" t="str">
        <f aca="false">TEXT(P430,"YYYY-MM")</f>
        <v>2026-06</v>
      </c>
      <c r="U430" s="18" t="n">
        <f aca="false">RANK(S430,$S$2:$S$670)+COUNTIF($S$2:S430,S430)-1</f>
        <v>132</v>
      </c>
      <c r="V430" s="20" t="n">
        <f aca="false">ROUND((R430-Q430)*24,4)</f>
        <v>44.1667</v>
      </c>
      <c r="W430" s="20" t="n">
        <f aca="false">ROUND((R430-P430)*24,4)</f>
        <v>55</v>
      </c>
      <c r="X430" s="18" t="str">
        <f aca="false">TEXT(P430,"dddd")</f>
        <v>Sunday</v>
      </c>
      <c r="Y430" s="18" t="n">
        <f aca="false">HOUR(Q430)</f>
        <v>23</v>
      </c>
    </row>
    <row r="431" customFormat="false" ht="15" hidden="false" customHeight="false" outlineLevel="0" collapsed="false">
      <c r="A431" s="18" t="s">
        <v>32</v>
      </c>
      <c r="B431" s="18" t="s">
        <v>225</v>
      </c>
      <c r="C431" s="18" t="s">
        <v>226</v>
      </c>
      <c r="D431" s="18" t="s">
        <v>47</v>
      </c>
      <c r="E431" s="18" t="s">
        <v>163</v>
      </c>
      <c r="F431" s="18" t="n">
        <v>2607</v>
      </c>
      <c r="G431" s="18" t="s">
        <v>125</v>
      </c>
      <c r="H431" s="18" t="s">
        <v>290</v>
      </c>
      <c r="I431" s="18" t="s">
        <v>17</v>
      </c>
      <c r="J431" s="18" t="s">
        <v>12</v>
      </c>
      <c r="K431" s="18" t="s">
        <v>13</v>
      </c>
      <c r="L431" s="18" t="s">
        <v>125</v>
      </c>
      <c r="M431" s="18" t="s">
        <v>125</v>
      </c>
      <c r="N431" s="18" t="s">
        <v>125</v>
      </c>
      <c r="O431" s="18"/>
      <c r="P431" s="19" t="n">
        <v>46180.8125</v>
      </c>
      <c r="Q431" s="19" t="n">
        <v>46180.9375</v>
      </c>
      <c r="R431" s="19" t="n">
        <v>46182.75</v>
      </c>
      <c r="S431" s="20" t="n">
        <f aca="false">ROUND((Q431-P431)*24,4)</f>
        <v>3</v>
      </c>
      <c r="T431" s="18" t="str">
        <f aca="false">TEXT(P431,"YYYY-MM")</f>
        <v>2026-06</v>
      </c>
      <c r="U431" s="18" t="n">
        <f aca="false">RANK(S431,$S$2:$S$670)+COUNTIF($S$2:S431,S431)-1</f>
        <v>288</v>
      </c>
      <c r="V431" s="20" t="n">
        <f aca="false">ROUND((R431-Q431)*24,4)</f>
        <v>43.5</v>
      </c>
      <c r="W431" s="20" t="n">
        <f aca="false">ROUND((R431-P431)*24,4)</f>
        <v>46.5</v>
      </c>
      <c r="X431" s="18" t="str">
        <f aca="false">TEXT(P431,"dddd")</f>
        <v>Sunday</v>
      </c>
      <c r="Y431" s="18" t="n">
        <f aca="false">HOUR(Q431)</f>
        <v>22</v>
      </c>
    </row>
    <row r="432" customFormat="false" ht="15" hidden="false" customHeight="false" outlineLevel="0" collapsed="false">
      <c r="A432" s="18" t="s">
        <v>39</v>
      </c>
      <c r="B432" s="18" t="s">
        <v>275</v>
      </c>
      <c r="C432" s="18" t="s">
        <v>276</v>
      </c>
      <c r="D432" s="18" t="s">
        <v>46</v>
      </c>
      <c r="E432" s="18" t="s">
        <v>176</v>
      </c>
      <c r="F432" s="18" t="n">
        <v>2609</v>
      </c>
      <c r="G432" s="18" t="s">
        <v>125</v>
      </c>
      <c r="H432" s="18" t="s">
        <v>319</v>
      </c>
      <c r="I432" s="18" t="s">
        <v>21</v>
      </c>
      <c r="J432" s="18" t="s">
        <v>13</v>
      </c>
      <c r="K432" s="18" t="s">
        <v>216</v>
      </c>
      <c r="L432" s="18" t="s">
        <v>125</v>
      </c>
      <c r="M432" s="18" t="s">
        <v>125</v>
      </c>
      <c r="N432" s="18" t="s">
        <v>125</v>
      </c>
      <c r="O432" s="18"/>
      <c r="P432" s="19" t="n">
        <v>46181.2083333333</v>
      </c>
      <c r="Q432" s="19" t="n">
        <v>46181.3041666667</v>
      </c>
      <c r="R432" s="19" t="n">
        <v>46182.2958333333</v>
      </c>
      <c r="S432" s="20" t="n">
        <f aca="false">ROUND((Q432-P432)*24,4)</f>
        <v>2.3</v>
      </c>
      <c r="T432" s="18" t="str">
        <f aca="false">TEXT(P432,"YYYY-MM")</f>
        <v>2026-06</v>
      </c>
      <c r="U432" s="18" t="n">
        <f aca="false">RANK(S432,$S$2:$S$670)+COUNTIF($S$2:S432,S432)-1</f>
        <v>313</v>
      </c>
      <c r="V432" s="20" t="n">
        <f aca="false">ROUND((R432-Q432)*24,4)</f>
        <v>23.8</v>
      </c>
      <c r="W432" s="20" t="n">
        <f aca="false">ROUND((R432-P432)*24,4)</f>
        <v>26.1</v>
      </c>
      <c r="X432" s="18" t="str">
        <f aca="false">TEXT(P432,"dddd")</f>
        <v>Monday</v>
      </c>
      <c r="Y432" s="18" t="n">
        <f aca="false">HOUR(Q432)</f>
        <v>7</v>
      </c>
    </row>
    <row r="433" customFormat="false" ht="15" hidden="false" customHeight="false" outlineLevel="0" collapsed="false">
      <c r="A433" s="18" t="s">
        <v>37</v>
      </c>
      <c r="B433" s="18" t="s">
        <v>208</v>
      </c>
      <c r="C433" s="18" t="s">
        <v>209</v>
      </c>
      <c r="D433" s="18" t="s">
        <v>46</v>
      </c>
      <c r="E433" s="18" t="s">
        <v>163</v>
      </c>
      <c r="F433" s="18" t="n">
        <v>2605</v>
      </c>
      <c r="G433" s="18" t="s">
        <v>127</v>
      </c>
      <c r="H433" s="18" t="s">
        <v>304</v>
      </c>
      <c r="I433" s="18" t="s">
        <v>20</v>
      </c>
      <c r="J433" s="18" t="s">
        <v>13</v>
      </c>
      <c r="K433" s="18" t="s">
        <v>12</v>
      </c>
      <c r="L433" s="18" t="s">
        <v>125</v>
      </c>
      <c r="M433" s="18" t="s">
        <v>125</v>
      </c>
      <c r="N433" s="18" t="s">
        <v>125</v>
      </c>
      <c r="O433" s="18"/>
      <c r="P433" s="19" t="n">
        <v>46181.25</v>
      </c>
      <c r="Q433" s="19" t="n">
        <v>46181.8125</v>
      </c>
      <c r="R433" s="19" t="n">
        <v>46182.2083333333</v>
      </c>
      <c r="S433" s="20" t="n">
        <f aca="false">ROUND((Q433-P433)*24,4)</f>
        <v>13.5</v>
      </c>
      <c r="T433" s="18" t="str">
        <f aca="false">TEXT(P433,"YYYY-MM")</f>
        <v>2026-06</v>
      </c>
      <c r="U433" s="18" t="n">
        <f aca="false">RANK(S433,$S$2:$S$670)+COUNTIF($S$2:S433,S433)-1</f>
        <v>101</v>
      </c>
      <c r="V433" s="20" t="n">
        <f aca="false">ROUND((R433-Q433)*24,4)</f>
        <v>9.5</v>
      </c>
      <c r="W433" s="20" t="n">
        <f aca="false">ROUND((R433-P433)*24,4)</f>
        <v>23</v>
      </c>
      <c r="X433" s="18" t="str">
        <f aca="false">TEXT(P433,"dddd")</f>
        <v>Monday</v>
      </c>
      <c r="Y433" s="18" t="n">
        <f aca="false">HOUR(Q433)</f>
        <v>19</v>
      </c>
    </row>
    <row r="434" customFormat="false" ht="15" hidden="false" customHeight="false" outlineLevel="0" collapsed="false">
      <c r="A434" s="18" t="s">
        <v>37</v>
      </c>
      <c r="B434" s="18" t="s">
        <v>208</v>
      </c>
      <c r="C434" s="18" t="s">
        <v>209</v>
      </c>
      <c r="D434" s="18" t="s">
        <v>46</v>
      </c>
      <c r="E434" s="18" t="s">
        <v>176</v>
      </c>
      <c r="F434" s="18" t="n">
        <v>2605</v>
      </c>
      <c r="G434" s="18" t="s">
        <v>125</v>
      </c>
      <c r="H434" s="18" t="s">
        <v>305</v>
      </c>
      <c r="I434" s="18" t="s">
        <v>19</v>
      </c>
      <c r="J434" s="18" t="s">
        <v>12</v>
      </c>
      <c r="K434" s="18" t="s">
        <v>13</v>
      </c>
      <c r="L434" s="18" t="s">
        <v>125</v>
      </c>
      <c r="M434" s="18" t="s">
        <v>125</v>
      </c>
      <c r="N434" s="18" t="s">
        <v>125</v>
      </c>
      <c r="O434" s="18"/>
      <c r="P434" s="19" t="n">
        <v>46182.2916666667</v>
      </c>
      <c r="Q434" s="19" t="n">
        <v>46183.0625</v>
      </c>
      <c r="R434" s="19" t="n">
        <v>46184.875</v>
      </c>
      <c r="S434" s="20" t="n">
        <f aca="false">ROUND((Q434-P434)*24,4)</f>
        <v>18.5</v>
      </c>
      <c r="T434" s="18" t="str">
        <f aca="false">TEXT(P434,"YYYY-MM")</f>
        <v>2026-06</v>
      </c>
      <c r="U434" s="18" t="n">
        <f aca="false">RANK(S434,$S$2:$S$670)+COUNTIF($S$2:S434,S434)-1</f>
        <v>57</v>
      </c>
      <c r="V434" s="20" t="n">
        <f aca="false">ROUND((R434-Q434)*24,4)</f>
        <v>43.5</v>
      </c>
      <c r="W434" s="20" t="n">
        <f aca="false">ROUND((R434-P434)*24,4)</f>
        <v>62</v>
      </c>
      <c r="X434" s="18" t="str">
        <f aca="false">TEXT(P434,"dddd")</f>
        <v>Tuesday</v>
      </c>
      <c r="Y434" s="18" t="n">
        <f aca="false">HOUR(Q434)</f>
        <v>1</v>
      </c>
    </row>
    <row r="435" customFormat="false" ht="15" hidden="false" customHeight="false" outlineLevel="0" collapsed="false">
      <c r="A435" s="18" t="s">
        <v>32</v>
      </c>
      <c r="B435" s="18" t="s">
        <v>225</v>
      </c>
      <c r="C435" s="18" t="s">
        <v>226</v>
      </c>
      <c r="D435" s="18" t="s">
        <v>47</v>
      </c>
      <c r="E435" s="18" t="s">
        <v>176</v>
      </c>
      <c r="F435" s="18" t="n">
        <v>2607</v>
      </c>
      <c r="G435" s="18" t="s">
        <v>125</v>
      </c>
      <c r="H435" s="18" t="s">
        <v>290</v>
      </c>
      <c r="I435" s="18" t="s">
        <v>23</v>
      </c>
      <c r="J435" s="18" t="s">
        <v>13</v>
      </c>
      <c r="K435" s="18" t="s">
        <v>309</v>
      </c>
      <c r="L435" s="18" t="s">
        <v>125</v>
      </c>
      <c r="M435" s="18" t="s">
        <v>125</v>
      </c>
      <c r="N435" s="18" t="s">
        <v>125</v>
      </c>
      <c r="O435" s="18"/>
      <c r="P435" s="19" t="n">
        <v>46182.9583333333</v>
      </c>
      <c r="Q435" s="19" t="n">
        <v>46182.9930555556</v>
      </c>
      <c r="R435" s="19" t="n">
        <v>46183.3333333333</v>
      </c>
      <c r="S435" s="20" t="n">
        <f aca="false">ROUND((Q435-P435)*24,4)</f>
        <v>0.8333</v>
      </c>
      <c r="T435" s="18" t="str">
        <f aca="false">TEXT(P435,"YYYY-MM")</f>
        <v>2026-06</v>
      </c>
      <c r="U435" s="18" t="n">
        <f aca="false">RANK(S435,$S$2:$S$670)+COUNTIF($S$2:S435,S435)-1</f>
        <v>584</v>
      </c>
      <c r="V435" s="20" t="n">
        <f aca="false">ROUND((R435-Q435)*24,4)</f>
        <v>8.1667</v>
      </c>
      <c r="W435" s="20" t="n">
        <f aca="false">ROUND((R435-P435)*24,4)</f>
        <v>9</v>
      </c>
      <c r="X435" s="18" t="str">
        <f aca="false">TEXT(P435,"dddd")</f>
        <v>Tuesday</v>
      </c>
      <c r="Y435" s="18" t="n">
        <f aca="false">HOUR(Q435)</f>
        <v>23</v>
      </c>
    </row>
    <row r="436" customFormat="false" ht="15" hidden="false" customHeight="false" outlineLevel="0" collapsed="false">
      <c r="A436" s="18" t="s">
        <v>36</v>
      </c>
      <c r="B436" s="18" t="s">
        <v>267</v>
      </c>
      <c r="C436" s="18" t="s">
        <v>268</v>
      </c>
      <c r="D436" s="18" t="s">
        <v>46</v>
      </c>
      <c r="E436" s="18" t="s">
        <v>176</v>
      </c>
      <c r="F436" s="18" t="n">
        <v>2610</v>
      </c>
      <c r="G436" s="18" t="s">
        <v>125</v>
      </c>
      <c r="H436" s="18" t="s">
        <v>323</v>
      </c>
      <c r="I436" s="18" t="s">
        <v>23</v>
      </c>
      <c r="J436" s="18" t="s">
        <v>13</v>
      </c>
      <c r="K436" s="18" t="s">
        <v>303</v>
      </c>
      <c r="L436" s="18" t="s">
        <v>125</v>
      </c>
      <c r="M436" s="18" t="s">
        <v>125</v>
      </c>
      <c r="N436" s="18" t="s">
        <v>125</v>
      </c>
      <c r="O436" s="18"/>
      <c r="P436" s="19" t="n">
        <v>46183.0416666667</v>
      </c>
      <c r="Q436" s="19" t="n">
        <v>46183.1875</v>
      </c>
      <c r="R436" s="19" t="n">
        <v>46183.625</v>
      </c>
      <c r="S436" s="20" t="n">
        <f aca="false">ROUND((Q436-P436)*24,4)</f>
        <v>3.5</v>
      </c>
      <c r="T436" s="18" t="str">
        <f aca="false">TEXT(P436,"YYYY-MM")</f>
        <v>2026-06</v>
      </c>
      <c r="U436" s="18" t="n">
        <f aca="false">RANK(S436,$S$2:$S$670)+COUNTIF($S$2:S436,S436)-1</f>
        <v>265</v>
      </c>
      <c r="V436" s="20" t="n">
        <f aca="false">ROUND((R436-Q436)*24,4)</f>
        <v>10.5</v>
      </c>
      <c r="W436" s="20" t="n">
        <f aca="false">ROUND((R436-P436)*24,4)</f>
        <v>14</v>
      </c>
      <c r="X436" s="18" t="str">
        <f aca="false">TEXT(P436,"dddd")</f>
        <v>Wednesday</v>
      </c>
      <c r="Y436" s="18" t="n">
        <f aca="false">HOUR(Q436)</f>
        <v>4</v>
      </c>
    </row>
    <row r="437" customFormat="false" ht="15" hidden="false" customHeight="false" outlineLevel="0" collapsed="false">
      <c r="A437" s="18" t="s">
        <v>35</v>
      </c>
      <c r="B437" s="18" t="s">
        <v>166</v>
      </c>
      <c r="C437" s="18" t="s">
        <v>167</v>
      </c>
      <c r="D437" s="18" t="s">
        <v>47</v>
      </c>
      <c r="E437" s="18" t="s">
        <v>198</v>
      </c>
      <c r="F437" s="18" t="n">
        <v>2606</v>
      </c>
      <c r="G437" s="18" t="s">
        <v>127</v>
      </c>
      <c r="H437" s="18" t="s">
        <v>269</v>
      </c>
      <c r="I437" s="18" t="s">
        <v>20</v>
      </c>
      <c r="J437" s="18" t="s">
        <v>13</v>
      </c>
      <c r="K437" s="18" t="s">
        <v>12</v>
      </c>
      <c r="L437" s="18" t="s">
        <v>125</v>
      </c>
      <c r="M437" s="18" t="s">
        <v>125</v>
      </c>
      <c r="N437" s="18" t="s">
        <v>144</v>
      </c>
      <c r="O437" s="18"/>
      <c r="P437" s="19" t="n">
        <v>46183.3333333333</v>
      </c>
      <c r="Q437" s="19" t="n">
        <v>46183.4166666667</v>
      </c>
      <c r="R437" s="19" t="n">
        <v>46183.7916666667</v>
      </c>
      <c r="S437" s="20" t="n">
        <f aca="false">ROUND((Q437-P437)*24,4)</f>
        <v>2</v>
      </c>
      <c r="T437" s="18" t="str">
        <f aca="false">TEXT(P437,"YYYY-MM")</f>
        <v>2026-06</v>
      </c>
      <c r="U437" s="18" t="n">
        <f aca="false">RANK(S437,$S$2:$S$670)+COUNTIF($S$2:S437,S437)-1</f>
        <v>333</v>
      </c>
      <c r="V437" s="20" t="n">
        <f aca="false">ROUND((R437-Q437)*24,4)</f>
        <v>9</v>
      </c>
      <c r="W437" s="20" t="n">
        <f aca="false">ROUND((R437-P437)*24,4)</f>
        <v>11</v>
      </c>
      <c r="X437" s="18" t="str">
        <f aca="false">TEXT(P437,"dddd")</f>
        <v>Wednesday</v>
      </c>
      <c r="Y437" s="18" t="n">
        <f aca="false">HOUR(Q437)</f>
        <v>10</v>
      </c>
    </row>
    <row r="438" customFormat="false" ht="15" hidden="false" customHeight="false" outlineLevel="0" collapsed="false">
      <c r="A438" s="18" t="s">
        <v>33</v>
      </c>
      <c r="B438" s="18" t="s">
        <v>194</v>
      </c>
      <c r="C438" s="18" t="s">
        <v>195</v>
      </c>
      <c r="D438" s="18" t="s">
        <v>46</v>
      </c>
      <c r="E438" s="18" t="s">
        <v>163</v>
      </c>
      <c r="F438" s="18" t="n">
        <v>2606</v>
      </c>
      <c r="G438" s="18" t="s">
        <v>127</v>
      </c>
      <c r="H438" s="18" t="s">
        <v>269</v>
      </c>
      <c r="I438" s="18" t="s">
        <v>26</v>
      </c>
      <c r="J438" s="18" t="s">
        <v>13</v>
      </c>
      <c r="K438" s="18" t="s">
        <v>12</v>
      </c>
      <c r="L438" s="18" t="s">
        <v>125</v>
      </c>
      <c r="M438" s="18" t="s">
        <v>125</v>
      </c>
      <c r="N438" s="18" t="s">
        <v>144</v>
      </c>
      <c r="O438" s="18"/>
      <c r="P438" s="19" t="n">
        <v>46183.3333333333</v>
      </c>
      <c r="Q438" s="19" t="n">
        <v>46183.375</v>
      </c>
      <c r="R438" s="19" t="n">
        <v>46183.6666666667</v>
      </c>
      <c r="S438" s="20" t="n">
        <f aca="false">ROUND((Q438-P438)*24,4)</f>
        <v>1</v>
      </c>
      <c r="T438" s="18" t="str">
        <f aca="false">TEXT(P438,"YYYY-MM")</f>
        <v>2026-06</v>
      </c>
      <c r="U438" s="18" t="n">
        <f aca="false">RANK(S438,$S$2:$S$670)+COUNTIF($S$2:S438,S438)-1</f>
        <v>498</v>
      </c>
      <c r="V438" s="20" t="n">
        <f aca="false">ROUND((R438-Q438)*24,4)</f>
        <v>7</v>
      </c>
      <c r="W438" s="20" t="n">
        <f aca="false">ROUND((R438-P438)*24,4)</f>
        <v>8</v>
      </c>
      <c r="X438" s="18" t="str">
        <f aca="false">TEXT(P438,"dddd")</f>
        <v>Wednesday</v>
      </c>
      <c r="Y438" s="18" t="n">
        <f aca="false">HOUR(Q438)</f>
        <v>9</v>
      </c>
    </row>
    <row r="439" customFormat="false" ht="15" hidden="false" customHeight="false" outlineLevel="0" collapsed="false">
      <c r="A439" s="18" t="s">
        <v>33</v>
      </c>
      <c r="B439" s="18" t="s">
        <v>194</v>
      </c>
      <c r="C439" s="18" t="s">
        <v>195</v>
      </c>
      <c r="D439" s="18" t="s">
        <v>46</v>
      </c>
      <c r="E439" s="18" t="s">
        <v>176</v>
      </c>
      <c r="F439" s="18" t="n">
        <v>2606</v>
      </c>
      <c r="G439" s="18" t="s">
        <v>125</v>
      </c>
      <c r="H439" s="18" t="s">
        <v>270</v>
      </c>
      <c r="I439" s="18" t="s">
        <v>18</v>
      </c>
      <c r="J439" s="18" t="s">
        <v>12</v>
      </c>
      <c r="K439" s="18" t="s">
        <v>13</v>
      </c>
      <c r="L439" s="18" t="s">
        <v>125</v>
      </c>
      <c r="M439" s="18" t="s">
        <v>125</v>
      </c>
      <c r="N439" s="18" t="s">
        <v>125</v>
      </c>
      <c r="O439" s="18"/>
      <c r="P439" s="19" t="n">
        <v>46183.75</v>
      </c>
      <c r="Q439" s="19" t="n">
        <v>46183.9583333333</v>
      </c>
      <c r="R439" s="19" t="n">
        <v>46184.9166666667</v>
      </c>
      <c r="S439" s="20" t="n">
        <f aca="false">ROUND((Q439-P439)*24,4)</f>
        <v>5</v>
      </c>
      <c r="T439" s="18" t="str">
        <f aca="false">TEXT(P439,"YYYY-MM")</f>
        <v>2026-06</v>
      </c>
      <c r="U439" s="18" t="n">
        <f aca="false">RANK(S439,$S$2:$S$670)+COUNTIF($S$2:S439,S439)-1</f>
        <v>231</v>
      </c>
      <c r="V439" s="20" t="n">
        <f aca="false">ROUND((R439-Q439)*24,4)</f>
        <v>23</v>
      </c>
      <c r="W439" s="20" t="n">
        <f aca="false">ROUND((R439-P439)*24,4)</f>
        <v>28</v>
      </c>
      <c r="X439" s="18" t="str">
        <f aca="false">TEXT(P439,"dddd")</f>
        <v>Wednesday</v>
      </c>
      <c r="Y439" s="18" t="n">
        <f aca="false">HOUR(Q439)</f>
        <v>23</v>
      </c>
    </row>
    <row r="440" customFormat="false" ht="15" hidden="false" customHeight="false" outlineLevel="0" collapsed="false">
      <c r="A440" s="18" t="s">
        <v>35</v>
      </c>
      <c r="B440" s="18" t="s">
        <v>166</v>
      </c>
      <c r="C440" s="18" t="s">
        <v>167</v>
      </c>
      <c r="D440" s="18" t="s">
        <v>47</v>
      </c>
      <c r="E440" s="18" t="s">
        <v>168</v>
      </c>
      <c r="F440" s="18" t="n">
        <v>2606</v>
      </c>
      <c r="G440" s="18" t="s">
        <v>125</v>
      </c>
      <c r="H440" s="18" t="s">
        <v>270</v>
      </c>
      <c r="I440" s="18" t="s">
        <v>19</v>
      </c>
      <c r="J440" s="18" t="s">
        <v>12</v>
      </c>
      <c r="K440" s="18" t="s">
        <v>13</v>
      </c>
      <c r="L440" s="18" t="s">
        <v>125</v>
      </c>
      <c r="M440" s="18" t="s">
        <v>125</v>
      </c>
      <c r="N440" s="18" t="s">
        <v>125</v>
      </c>
      <c r="O440" s="18"/>
      <c r="P440" s="19" t="n">
        <v>46183.875</v>
      </c>
      <c r="Q440" s="19" t="n">
        <v>46184.0833333333</v>
      </c>
      <c r="R440" s="19" t="n">
        <v>46185.5833333333</v>
      </c>
      <c r="S440" s="20" t="n">
        <f aca="false">ROUND((Q440-P440)*24,4)</f>
        <v>5</v>
      </c>
      <c r="T440" s="18" t="str">
        <f aca="false">TEXT(P440,"YYYY-MM")</f>
        <v>2026-06</v>
      </c>
      <c r="U440" s="18" t="n">
        <f aca="false">RANK(S440,$S$2:$S$670)+COUNTIF($S$2:S440,S440)-1</f>
        <v>232</v>
      </c>
      <c r="V440" s="20" t="n">
        <f aca="false">ROUND((R440-Q440)*24,4)</f>
        <v>36</v>
      </c>
      <c r="W440" s="20" t="n">
        <f aca="false">ROUND((R440-P440)*24,4)</f>
        <v>41</v>
      </c>
      <c r="X440" s="18" t="str">
        <f aca="false">TEXT(P440,"dddd")</f>
        <v>Wednesday</v>
      </c>
      <c r="Y440" s="18" t="n">
        <f aca="false">HOUR(Q440)</f>
        <v>2</v>
      </c>
    </row>
    <row r="441" customFormat="false" ht="15" hidden="false" customHeight="false" outlineLevel="0" collapsed="false">
      <c r="A441" s="18" t="s">
        <v>38</v>
      </c>
      <c r="B441" s="18" t="s">
        <v>244</v>
      </c>
      <c r="C441" s="18" t="s">
        <v>245</v>
      </c>
      <c r="D441" s="18" t="s">
        <v>47</v>
      </c>
      <c r="E441" s="18" t="s">
        <v>163</v>
      </c>
      <c r="F441" s="18" t="n">
        <v>2605</v>
      </c>
      <c r="G441" s="18" t="s">
        <v>127</v>
      </c>
      <c r="H441" s="18" t="s">
        <v>304</v>
      </c>
      <c r="I441" s="18" t="s">
        <v>23</v>
      </c>
      <c r="J441" s="18" t="s">
        <v>13</v>
      </c>
      <c r="K441" s="18" t="s">
        <v>181</v>
      </c>
      <c r="L441" s="18" t="s">
        <v>125</v>
      </c>
      <c r="M441" s="18" t="s">
        <v>125</v>
      </c>
      <c r="N441" s="18" t="s">
        <v>125</v>
      </c>
      <c r="O441" s="18"/>
      <c r="P441" s="19" t="n">
        <v>46183.8875</v>
      </c>
      <c r="Q441" s="19" t="n">
        <v>46183.9166666667</v>
      </c>
      <c r="R441" s="19" t="n">
        <v>46184.75</v>
      </c>
      <c r="S441" s="20" t="n">
        <f aca="false">ROUND((Q441-P441)*24,4)</f>
        <v>0.7</v>
      </c>
      <c r="T441" s="18" t="str">
        <f aca="false">TEXT(P441,"YYYY-MM")</f>
        <v>2026-06</v>
      </c>
      <c r="U441" s="18" t="n">
        <f aca="false">RANK(S441,$S$2:$S$670)+COUNTIF($S$2:S441,S441)-1</f>
        <v>592</v>
      </c>
      <c r="V441" s="20" t="n">
        <f aca="false">ROUND((R441-Q441)*24,4)</f>
        <v>20</v>
      </c>
      <c r="W441" s="20" t="n">
        <f aca="false">ROUND((R441-P441)*24,4)</f>
        <v>20.7</v>
      </c>
      <c r="X441" s="18" t="str">
        <f aca="false">TEXT(P441,"dddd")</f>
        <v>Wednesday</v>
      </c>
      <c r="Y441" s="18" t="n">
        <f aca="false">HOUR(Q441)</f>
        <v>22</v>
      </c>
    </row>
    <row r="442" customFormat="false" ht="15" hidden="false" customHeight="false" outlineLevel="0" collapsed="false">
      <c r="A442" s="18" t="s">
        <v>34</v>
      </c>
      <c r="B442" s="18" t="s">
        <v>233</v>
      </c>
      <c r="C442" s="18" t="s">
        <v>234</v>
      </c>
      <c r="D442" s="18" t="s">
        <v>46</v>
      </c>
      <c r="E442" s="18" t="s">
        <v>163</v>
      </c>
      <c r="F442" s="18" t="n">
        <v>2606</v>
      </c>
      <c r="G442" s="18" t="s">
        <v>127</v>
      </c>
      <c r="H442" s="18" t="s">
        <v>269</v>
      </c>
      <c r="I442" s="18" t="s">
        <v>23</v>
      </c>
      <c r="J442" s="18" t="s">
        <v>13</v>
      </c>
      <c r="K442" s="18" t="s">
        <v>12</v>
      </c>
      <c r="L442" s="18" t="s">
        <v>125</v>
      </c>
      <c r="M442" s="18" t="s">
        <v>125</v>
      </c>
      <c r="N442" s="18" t="s">
        <v>125</v>
      </c>
      <c r="O442" s="18"/>
      <c r="P442" s="19" t="n">
        <v>46184.1666666667</v>
      </c>
      <c r="Q442" s="19" t="n">
        <v>46184.2083333333</v>
      </c>
      <c r="R442" s="19" t="n">
        <v>46184.625</v>
      </c>
      <c r="S442" s="20" t="n">
        <f aca="false">ROUND((Q442-P442)*24,4)</f>
        <v>1</v>
      </c>
      <c r="T442" s="18" t="str">
        <f aca="false">TEXT(P442,"YYYY-MM")</f>
        <v>2026-06</v>
      </c>
      <c r="U442" s="18" t="n">
        <f aca="false">RANK(S442,$S$2:$S$670)+COUNTIF($S$2:S442,S442)-1</f>
        <v>499</v>
      </c>
      <c r="V442" s="20" t="n">
        <f aca="false">ROUND((R442-Q442)*24,4)</f>
        <v>10</v>
      </c>
      <c r="W442" s="20" t="n">
        <f aca="false">ROUND((R442-P442)*24,4)</f>
        <v>11</v>
      </c>
      <c r="X442" s="18" t="str">
        <f aca="false">TEXT(P442,"dddd")</f>
        <v>Thursday</v>
      </c>
      <c r="Y442" s="18" t="n">
        <f aca="false">HOUR(Q442)</f>
        <v>5</v>
      </c>
    </row>
    <row r="443" customFormat="false" ht="15" hidden="false" customHeight="false" outlineLevel="0" collapsed="false">
      <c r="A443" s="18" t="s">
        <v>34</v>
      </c>
      <c r="B443" s="18" t="s">
        <v>233</v>
      </c>
      <c r="C443" s="18" t="s">
        <v>234</v>
      </c>
      <c r="D443" s="18" t="s">
        <v>46</v>
      </c>
      <c r="E443" s="18" t="s">
        <v>176</v>
      </c>
      <c r="F443" s="18" t="n">
        <v>2606</v>
      </c>
      <c r="G443" s="18" t="s">
        <v>125</v>
      </c>
      <c r="H443" s="18" t="s">
        <v>270</v>
      </c>
      <c r="I443" s="18" t="s">
        <v>17</v>
      </c>
      <c r="J443" s="18" t="s">
        <v>12</v>
      </c>
      <c r="K443" s="18" t="s">
        <v>13</v>
      </c>
      <c r="L443" s="18" t="s">
        <v>125</v>
      </c>
      <c r="M443" s="18" t="s">
        <v>125</v>
      </c>
      <c r="N443" s="18" t="s">
        <v>125</v>
      </c>
      <c r="O443" s="18"/>
      <c r="P443" s="19" t="n">
        <v>46184.7083333333</v>
      </c>
      <c r="Q443" s="19" t="n">
        <v>46186.7083333333</v>
      </c>
      <c r="R443" s="19" t="n">
        <v>46188.625</v>
      </c>
      <c r="S443" s="20" t="n">
        <f aca="false">ROUND((Q443-P443)*24,4)</f>
        <v>48</v>
      </c>
      <c r="T443" s="18" t="str">
        <f aca="false">TEXT(P443,"YYYY-MM")</f>
        <v>2026-06</v>
      </c>
      <c r="U443" s="18" t="n">
        <f aca="false">RANK(S443,$S$2:$S$670)+COUNTIF($S$2:S443,S443)-1</f>
        <v>8</v>
      </c>
      <c r="V443" s="20" t="n">
        <f aca="false">ROUND((R443-Q443)*24,4)</f>
        <v>46</v>
      </c>
      <c r="W443" s="20" t="n">
        <f aca="false">ROUND((R443-P443)*24,4)</f>
        <v>94</v>
      </c>
      <c r="X443" s="18" t="str">
        <f aca="false">TEXT(P443,"dddd")</f>
        <v>Thursday</v>
      </c>
      <c r="Y443" s="18" t="n">
        <f aca="false">HOUR(Q443)</f>
        <v>17</v>
      </c>
    </row>
    <row r="444" customFormat="false" ht="15" hidden="false" customHeight="false" outlineLevel="0" collapsed="false">
      <c r="A444" s="18" t="s">
        <v>39</v>
      </c>
      <c r="B444" s="18" t="s">
        <v>250</v>
      </c>
      <c r="C444" s="18" t="s">
        <v>251</v>
      </c>
      <c r="D444" s="18" t="s">
        <v>46</v>
      </c>
      <c r="E444" s="18" t="s">
        <v>176</v>
      </c>
      <c r="F444" s="18" t="n">
        <v>2605</v>
      </c>
      <c r="G444" s="18" t="s">
        <v>125</v>
      </c>
      <c r="H444" s="18" t="s">
        <v>305</v>
      </c>
      <c r="I444" s="18" t="s">
        <v>21</v>
      </c>
      <c r="J444" s="18" t="s">
        <v>13</v>
      </c>
      <c r="K444" s="18" t="s">
        <v>216</v>
      </c>
      <c r="L444" s="18" t="s">
        <v>125</v>
      </c>
      <c r="M444" s="18" t="s">
        <v>125</v>
      </c>
      <c r="N444" s="18" t="s">
        <v>125</v>
      </c>
      <c r="O444" s="18"/>
      <c r="P444" s="19" t="n">
        <v>46184.75</v>
      </c>
      <c r="Q444" s="19" t="n">
        <v>46184.7916666667</v>
      </c>
      <c r="R444" s="19" t="n">
        <v>46185.5458333333</v>
      </c>
      <c r="S444" s="20" t="n">
        <f aca="false">ROUND((Q444-P444)*24,4)</f>
        <v>1</v>
      </c>
      <c r="T444" s="18" t="str">
        <f aca="false">TEXT(P444,"YYYY-MM")</f>
        <v>2026-06</v>
      </c>
      <c r="U444" s="18" t="n">
        <f aca="false">RANK(S444,$S$2:$S$670)+COUNTIF($S$2:S444,S444)-1</f>
        <v>500</v>
      </c>
      <c r="V444" s="20" t="n">
        <f aca="false">ROUND((R444-Q444)*24,4)</f>
        <v>18.1</v>
      </c>
      <c r="W444" s="20" t="n">
        <f aca="false">ROUND((R444-P444)*24,4)</f>
        <v>19.1</v>
      </c>
      <c r="X444" s="18" t="str">
        <f aca="false">TEXT(P444,"dddd")</f>
        <v>Thursday</v>
      </c>
      <c r="Y444" s="18" t="n">
        <f aca="false">HOUR(Q444)</f>
        <v>19</v>
      </c>
    </row>
    <row r="445" customFormat="false" ht="15" hidden="false" customHeight="false" outlineLevel="0" collapsed="false">
      <c r="A445" s="18" t="s">
        <v>33</v>
      </c>
      <c r="B445" s="18" t="s">
        <v>194</v>
      </c>
      <c r="C445" s="18" t="s">
        <v>195</v>
      </c>
      <c r="D445" s="18" t="s">
        <v>46</v>
      </c>
      <c r="E445" s="18" t="s">
        <v>185</v>
      </c>
      <c r="F445" s="18" t="n">
        <v>2606</v>
      </c>
      <c r="G445" s="18" t="s">
        <v>125</v>
      </c>
      <c r="H445" s="18" t="s">
        <v>270</v>
      </c>
      <c r="I445" s="18" t="s">
        <v>23</v>
      </c>
      <c r="J445" s="18" t="s">
        <v>13</v>
      </c>
      <c r="K445" s="18" t="s">
        <v>165</v>
      </c>
      <c r="L445" s="18" t="s">
        <v>125</v>
      </c>
      <c r="M445" s="18" t="s">
        <v>144</v>
      </c>
      <c r="N445" s="18" t="s">
        <v>125</v>
      </c>
      <c r="O445" s="18"/>
      <c r="P445" s="19" t="n">
        <v>46185.0833333333</v>
      </c>
      <c r="Q445" s="19" t="n">
        <v>46185.125</v>
      </c>
      <c r="R445" s="19" t="n">
        <v>46185.4583333333</v>
      </c>
      <c r="S445" s="20" t="n">
        <f aca="false">ROUND((Q445-P445)*24,4)</f>
        <v>1</v>
      </c>
      <c r="T445" s="18" t="str">
        <f aca="false">TEXT(P445,"YYYY-MM")</f>
        <v>2026-06</v>
      </c>
      <c r="U445" s="18" t="n">
        <f aca="false">RANK(S445,$S$2:$S$670)+COUNTIF($S$2:S445,S445)-1</f>
        <v>501</v>
      </c>
      <c r="V445" s="20" t="n">
        <f aca="false">ROUND((R445-Q445)*24,4)</f>
        <v>8</v>
      </c>
      <c r="W445" s="20" t="n">
        <f aca="false">ROUND((R445-P445)*24,4)</f>
        <v>9</v>
      </c>
      <c r="X445" s="18" t="str">
        <f aca="false">TEXT(P445,"dddd")</f>
        <v>Friday</v>
      </c>
      <c r="Y445" s="18" t="n">
        <f aca="false">HOUR(Q445)</f>
        <v>3</v>
      </c>
    </row>
    <row r="446" customFormat="false" ht="15" hidden="false" customHeight="false" outlineLevel="0" collapsed="false">
      <c r="A446" s="18" t="s">
        <v>37</v>
      </c>
      <c r="B446" s="18" t="s">
        <v>208</v>
      </c>
      <c r="C446" s="18" t="s">
        <v>209</v>
      </c>
      <c r="D446" s="18" t="s">
        <v>46</v>
      </c>
      <c r="E446" s="18" t="s">
        <v>185</v>
      </c>
      <c r="F446" s="18" t="n">
        <v>2605</v>
      </c>
      <c r="G446" s="18" t="s">
        <v>125</v>
      </c>
      <c r="H446" s="18" t="s">
        <v>305</v>
      </c>
      <c r="I446" s="18" t="s">
        <v>20</v>
      </c>
      <c r="J446" s="18" t="s">
        <v>13</v>
      </c>
      <c r="K446" s="18" t="s">
        <v>165</v>
      </c>
      <c r="L446" s="18" t="s">
        <v>125</v>
      </c>
      <c r="M446" s="18" t="s">
        <v>125</v>
      </c>
      <c r="N446" s="18" t="s">
        <v>125</v>
      </c>
      <c r="O446" s="18"/>
      <c r="P446" s="19" t="n">
        <v>46185.125</v>
      </c>
      <c r="Q446" s="19" t="n">
        <v>46185.2708333333</v>
      </c>
      <c r="R446" s="19" t="n">
        <v>46185.7916666667</v>
      </c>
      <c r="S446" s="20" t="n">
        <f aca="false">ROUND((Q446-P446)*24,4)</f>
        <v>3.5</v>
      </c>
      <c r="T446" s="18" t="str">
        <f aca="false">TEXT(P446,"YYYY-MM")</f>
        <v>2026-06</v>
      </c>
      <c r="U446" s="18" t="n">
        <f aca="false">RANK(S446,$S$2:$S$670)+COUNTIF($S$2:S446,S446)-1</f>
        <v>266</v>
      </c>
      <c r="V446" s="20" t="n">
        <f aca="false">ROUND((R446-Q446)*24,4)</f>
        <v>12.5</v>
      </c>
      <c r="W446" s="20" t="n">
        <f aca="false">ROUND((R446-P446)*24,4)</f>
        <v>16</v>
      </c>
      <c r="X446" s="18" t="str">
        <f aca="false">TEXT(P446,"dddd")</f>
        <v>Friday</v>
      </c>
      <c r="Y446" s="18" t="n">
        <f aca="false">HOUR(Q446)</f>
        <v>6</v>
      </c>
    </row>
    <row r="447" customFormat="false" ht="15" hidden="false" customHeight="false" outlineLevel="0" collapsed="false">
      <c r="A447" s="18" t="s">
        <v>35</v>
      </c>
      <c r="B447" s="18" t="s">
        <v>166</v>
      </c>
      <c r="C447" s="18" t="s">
        <v>167</v>
      </c>
      <c r="D447" s="18" t="s">
        <v>47</v>
      </c>
      <c r="E447" s="18" t="s">
        <v>163</v>
      </c>
      <c r="F447" s="18" t="n">
        <v>2606</v>
      </c>
      <c r="G447" s="18" t="s">
        <v>125</v>
      </c>
      <c r="H447" s="18" t="s">
        <v>270</v>
      </c>
      <c r="I447" s="18" t="s">
        <v>20</v>
      </c>
      <c r="J447" s="18" t="s">
        <v>13</v>
      </c>
      <c r="K447" s="18" t="s">
        <v>186</v>
      </c>
      <c r="L447" s="18" t="s">
        <v>125</v>
      </c>
      <c r="M447" s="18" t="s">
        <v>144</v>
      </c>
      <c r="N447" s="18" t="s">
        <v>125</v>
      </c>
      <c r="O447" s="18"/>
      <c r="P447" s="19" t="n">
        <v>46185.7916666667</v>
      </c>
      <c r="Q447" s="19" t="n">
        <v>46186.0833333333</v>
      </c>
      <c r="R447" s="19" t="n">
        <v>46186.6458333333</v>
      </c>
      <c r="S447" s="20" t="n">
        <f aca="false">ROUND((Q447-P447)*24,4)</f>
        <v>7</v>
      </c>
      <c r="T447" s="18" t="str">
        <f aca="false">TEXT(P447,"YYYY-MM")</f>
        <v>2026-06</v>
      </c>
      <c r="U447" s="18" t="n">
        <f aca="false">RANK(S447,$S$2:$S$670)+COUNTIF($S$2:S447,S447)-1</f>
        <v>192</v>
      </c>
      <c r="V447" s="20" t="n">
        <f aca="false">ROUND((R447-Q447)*24,4)</f>
        <v>13.5</v>
      </c>
      <c r="W447" s="20" t="n">
        <f aca="false">ROUND((R447-P447)*24,4)</f>
        <v>20.5</v>
      </c>
      <c r="X447" s="18" t="str">
        <f aca="false">TEXT(P447,"dddd")</f>
        <v>Friday</v>
      </c>
      <c r="Y447" s="18" t="n">
        <f aca="false">HOUR(Q447)</f>
        <v>2</v>
      </c>
    </row>
    <row r="448" customFormat="false" ht="15" hidden="false" customHeight="false" outlineLevel="0" collapsed="false">
      <c r="A448" s="18" t="s">
        <v>31</v>
      </c>
      <c r="B448" s="18" t="s">
        <v>312</v>
      </c>
      <c r="C448" s="18" t="s">
        <v>313</v>
      </c>
      <c r="D448" s="18" t="s">
        <v>47</v>
      </c>
      <c r="E448" s="18" t="s">
        <v>163</v>
      </c>
      <c r="F448" s="18" t="n">
        <v>2607</v>
      </c>
      <c r="G448" s="18" t="s">
        <v>125</v>
      </c>
      <c r="H448" s="18" t="s">
        <v>290</v>
      </c>
      <c r="I448" s="18" t="s">
        <v>24</v>
      </c>
      <c r="J448" s="18" t="s">
        <v>13</v>
      </c>
      <c r="K448" s="18" t="s">
        <v>165</v>
      </c>
      <c r="L448" s="18" t="s">
        <v>125</v>
      </c>
      <c r="M448" s="18" t="s">
        <v>125</v>
      </c>
      <c r="N448" s="18" t="s">
        <v>125</v>
      </c>
      <c r="O448" s="18" t="s">
        <v>314</v>
      </c>
      <c r="P448" s="19" t="n">
        <v>46186.875</v>
      </c>
      <c r="Q448" s="19" t="n">
        <v>46187.3333333333</v>
      </c>
      <c r="R448" s="19" t="n">
        <v>46188.2916666667</v>
      </c>
      <c r="S448" s="20" t="n">
        <f aca="false">ROUND((Q448-P448)*24,4)</f>
        <v>11</v>
      </c>
      <c r="T448" s="18" t="str">
        <f aca="false">TEXT(P448,"YYYY-MM")</f>
        <v>2026-06</v>
      </c>
      <c r="U448" s="18" t="n">
        <f aca="false">RANK(S448,$S$2:$S$670)+COUNTIF($S$2:S448,S448)-1</f>
        <v>127</v>
      </c>
      <c r="V448" s="20" t="n">
        <f aca="false">ROUND((R448-Q448)*24,4)</f>
        <v>23</v>
      </c>
      <c r="W448" s="20" t="n">
        <f aca="false">ROUND((R448-P448)*24,4)</f>
        <v>34</v>
      </c>
      <c r="X448" s="18" t="str">
        <f aca="false">TEXT(P448,"dddd")</f>
        <v>Saturday</v>
      </c>
      <c r="Y448" s="18" t="n">
        <f aca="false">HOUR(Q448)</f>
        <v>8</v>
      </c>
    </row>
    <row r="449" customFormat="false" ht="15" hidden="false" customHeight="false" outlineLevel="0" collapsed="false">
      <c r="A449" s="18" t="s">
        <v>31</v>
      </c>
      <c r="B449" s="18" t="s">
        <v>236</v>
      </c>
      <c r="C449" s="18" t="s">
        <v>237</v>
      </c>
      <c r="D449" s="18" t="s">
        <v>46</v>
      </c>
      <c r="E449" s="18" t="s">
        <v>198</v>
      </c>
      <c r="F449" s="18" t="n">
        <v>2605</v>
      </c>
      <c r="G449" s="18" t="s">
        <v>127</v>
      </c>
      <c r="H449" s="18" t="s">
        <v>304</v>
      </c>
      <c r="I449" s="18" t="s">
        <v>28</v>
      </c>
      <c r="J449" s="18" t="s">
        <v>13</v>
      </c>
      <c r="K449" s="18" t="s">
        <v>12</v>
      </c>
      <c r="L449" s="18" t="s">
        <v>125</v>
      </c>
      <c r="M449" s="18" t="s">
        <v>125</v>
      </c>
      <c r="N449" s="18" t="s">
        <v>125</v>
      </c>
      <c r="O449" s="18"/>
      <c r="P449" s="19" t="n">
        <v>46187.6666666667</v>
      </c>
      <c r="Q449" s="19" t="n">
        <v>46187.7083333333</v>
      </c>
      <c r="R449" s="19" t="n">
        <v>46188.0416666667</v>
      </c>
      <c r="S449" s="20" t="n">
        <f aca="false">ROUND((Q449-P449)*24,4)</f>
        <v>1</v>
      </c>
      <c r="T449" s="18" t="str">
        <f aca="false">TEXT(P449,"YYYY-MM")</f>
        <v>2026-06</v>
      </c>
      <c r="U449" s="18" t="n">
        <f aca="false">RANK(S449,$S$2:$S$670)+COUNTIF($S$2:S449,S449)-1</f>
        <v>502</v>
      </c>
      <c r="V449" s="20" t="n">
        <f aca="false">ROUND((R449-Q449)*24,4)</f>
        <v>8</v>
      </c>
      <c r="W449" s="20" t="n">
        <f aca="false">ROUND((R449-P449)*24,4)</f>
        <v>9</v>
      </c>
      <c r="X449" s="18" t="str">
        <f aca="false">TEXT(P449,"dddd")</f>
        <v>Sunday</v>
      </c>
      <c r="Y449" s="18" t="n">
        <f aca="false">HOUR(Q449)</f>
        <v>17</v>
      </c>
    </row>
    <row r="450" customFormat="false" ht="15" hidden="false" customHeight="false" outlineLevel="0" collapsed="false">
      <c r="A450" s="18" t="s">
        <v>31</v>
      </c>
      <c r="B450" s="18" t="s">
        <v>236</v>
      </c>
      <c r="C450" s="18" t="s">
        <v>237</v>
      </c>
      <c r="D450" s="18" t="s">
        <v>46</v>
      </c>
      <c r="E450" s="18" t="s">
        <v>168</v>
      </c>
      <c r="F450" s="18" t="n">
        <v>2605</v>
      </c>
      <c r="G450" s="18" t="s">
        <v>125</v>
      </c>
      <c r="H450" s="18" t="s">
        <v>305</v>
      </c>
      <c r="I450" s="18" t="s">
        <v>18</v>
      </c>
      <c r="J450" s="18" t="s">
        <v>12</v>
      </c>
      <c r="K450" s="18" t="s">
        <v>13</v>
      </c>
      <c r="L450" s="18" t="s">
        <v>125</v>
      </c>
      <c r="M450" s="18" t="s">
        <v>125</v>
      </c>
      <c r="N450" s="18" t="s">
        <v>125</v>
      </c>
      <c r="O450" s="18"/>
      <c r="P450" s="19" t="n">
        <v>46188.125</v>
      </c>
      <c r="Q450" s="19" t="n">
        <v>46188.2083333333</v>
      </c>
      <c r="R450" s="19" t="n">
        <v>46188.9583333333</v>
      </c>
      <c r="S450" s="20" t="n">
        <f aca="false">ROUND((Q450-P450)*24,4)</f>
        <v>2</v>
      </c>
      <c r="T450" s="18" t="str">
        <f aca="false">TEXT(P450,"YYYY-MM")</f>
        <v>2026-06</v>
      </c>
      <c r="U450" s="18" t="n">
        <f aca="false">RANK(S450,$S$2:$S$670)+COUNTIF($S$2:S450,S450)-1</f>
        <v>334</v>
      </c>
      <c r="V450" s="20" t="n">
        <f aca="false">ROUND((R450-Q450)*24,4)</f>
        <v>18</v>
      </c>
      <c r="W450" s="20" t="n">
        <f aca="false">ROUND((R450-P450)*24,4)</f>
        <v>20</v>
      </c>
      <c r="X450" s="18" t="str">
        <f aca="false">TEXT(P450,"dddd")</f>
        <v>Monday</v>
      </c>
      <c r="Y450" s="18" t="n">
        <f aca="false">HOUR(Q450)</f>
        <v>5</v>
      </c>
    </row>
    <row r="451" customFormat="false" ht="15" hidden="false" customHeight="false" outlineLevel="0" collapsed="false">
      <c r="A451" s="18" t="s">
        <v>33</v>
      </c>
      <c r="B451" s="18" t="s">
        <v>246</v>
      </c>
      <c r="C451" s="18" t="s">
        <v>247</v>
      </c>
      <c r="D451" s="18" t="s">
        <v>51</v>
      </c>
      <c r="E451" s="18" t="s">
        <v>163</v>
      </c>
      <c r="F451" s="18" t="n">
        <v>147</v>
      </c>
      <c r="G451" s="18" t="s">
        <v>127</v>
      </c>
      <c r="H451" s="18" t="s">
        <v>324</v>
      </c>
      <c r="I451" s="18" t="s">
        <v>23</v>
      </c>
      <c r="J451" s="18" t="s">
        <v>13</v>
      </c>
      <c r="K451" s="18" t="s">
        <v>12</v>
      </c>
      <c r="L451" s="18" t="s">
        <v>125</v>
      </c>
      <c r="M451" s="18" t="s">
        <v>125</v>
      </c>
      <c r="N451" s="18" t="s">
        <v>125</v>
      </c>
      <c r="O451" s="18"/>
      <c r="P451" s="19" t="n">
        <v>46188.6666666667</v>
      </c>
      <c r="Q451" s="19" t="n">
        <v>46188.8333333333</v>
      </c>
      <c r="R451" s="19" t="n">
        <v>46189.0833333333</v>
      </c>
      <c r="S451" s="20" t="n">
        <f aca="false">ROUND((Q451-P451)*24,4)</f>
        <v>4</v>
      </c>
      <c r="T451" s="18" t="str">
        <f aca="false">TEXT(P451,"YYYY-MM")</f>
        <v>2026-06</v>
      </c>
      <c r="U451" s="18" t="n">
        <f aca="false">RANK(S451,$S$2:$S$670)+COUNTIF($S$2:S451,S451)-1</f>
        <v>252</v>
      </c>
      <c r="V451" s="20" t="n">
        <f aca="false">ROUND((R451-Q451)*24,4)</f>
        <v>6</v>
      </c>
      <c r="W451" s="20" t="n">
        <f aca="false">ROUND((R451-P451)*24,4)</f>
        <v>10</v>
      </c>
      <c r="X451" s="18" t="str">
        <f aca="false">TEXT(P451,"dddd")</f>
        <v>Monday</v>
      </c>
      <c r="Y451" s="18" t="n">
        <f aca="false">HOUR(Q451)</f>
        <v>20</v>
      </c>
    </row>
    <row r="452" customFormat="false" ht="15" hidden="false" customHeight="false" outlineLevel="0" collapsed="false">
      <c r="A452" s="18" t="s">
        <v>34</v>
      </c>
      <c r="B452" s="18" t="s">
        <v>240</v>
      </c>
      <c r="C452" s="18" t="s">
        <v>241</v>
      </c>
      <c r="D452" s="18" t="s">
        <v>50</v>
      </c>
      <c r="E452" s="18" t="s">
        <v>163</v>
      </c>
      <c r="F452" s="18" t="n">
        <v>2607</v>
      </c>
      <c r="G452" s="18" t="s">
        <v>127</v>
      </c>
      <c r="H452" s="18" t="s">
        <v>289</v>
      </c>
      <c r="I452" s="18" t="s">
        <v>23</v>
      </c>
      <c r="J452" s="18" t="s">
        <v>13</v>
      </c>
      <c r="K452" s="18" t="s">
        <v>12</v>
      </c>
      <c r="L452" s="18" t="s">
        <v>125</v>
      </c>
      <c r="M452" s="18" t="s">
        <v>125</v>
      </c>
      <c r="N452" s="18" t="s">
        <v>125</v>
      </c>
      <c r="O452" s="18"/>
      <c r="P452" s="19" t="n">
        <v>46188.7083333333</v>
      </c>
      <c r="Q452" s="19" t="n">
        <v>46188.75</v>
      </c>
      <c r="R452" s="19" t="n">
        <v>46189.2083333333</v>
      </c>
      <c r="S452" s="20" t="n">
        <f aca="false">ROUND((Q452-P452)*24,4)</f>
        <v>1</v>
      </c>
      <c r="T452" s="18" t="str">
        <f aca="false">TEXT(P452,"YYYY-MM")</f>
        <v>2026-06</v>
      </c>
      <c r="U452" s="18" t="n">
        <f aca="false">RANK(S452,$S$2:$S$670)+COUNTIF($S$2:S452,S452)-1</f>
        <v>503</v>
      </c>
      <c r="V452" s="20" t="n">
        <f aca="false">ROUND((R452-Q452)*24,4)</f>
        <v>11</v>
      </c>
      <c r="W452" s="20" t="n">
        <f aca="false">ROUND((R452-P452)*24,4)</f>
        <v>12</v>
      </c>
      <c r="X452" s="18" t="str">
        <f aca="false">TEXT(P452,"dddd")</f>
        <v>Monday</v>
      </c>
      <c r="Y452" s="18" t="n">
        <f aca="false">HOUR(Q452)</f>
        <v>18</v>
      </c>
    </row>
    <row r="453" customFormat="false" ht="15" hidden="false" customHeight="false" outlineLevel="0" collapsed="false">
      <c r="A453" s="18" t="s">
        <v>34</v>
      </c>
      <c r="B453" s="18" t="s">
        <v>233</v>
      </c>
      <c r="C453" s="18" t="s">
        <v>234</v>
      </c>
      <c r="D453" s="18" t="s">
        <v>46</v>
      </c>
      <c r="E453" s="18" t="s">
        <v>185</v>
      </c>
      <c r="F453" s="18" t="n">
        <v>2606</v>
      </c>
      <c r="G453" s="18" t="s">
        <v>125</v>
      </c>
      <c r="H453" s="18" t="s">
        <v>270</v>
      </c>
      <c r="I453" s="18" t="s">
        <v>23</v>
      </c>
      <c r="J453" s="18" t="s">
        <v>13</v>
      </c>
      <c r="K453" s="18" t="s">
        <v>165</v>
      </c>
      <c r="L453" s="18" t="s">
        <v>125</v>
      </c>
      <c r="M453" s="18" t="s">
        <v>125</v>
      </c>
      <c r="N453" s="18" t="s">
        <v>125</v>
      </c>
      <c r="O453" s="18"/>
      <c r="P453" s="19" t="n">
        <v>46188.8333333333</v>
      </c>
      <c r="Q453" s="19" t="n">
        <v>46189.25</v>
      </c>
      <c r="R453" s="19" t="n">
        <v>46189.6041666667</v>
      </c>
      <c r="S453" s="20" t="n">
        <f aca="false">ROUND((Q453-P453)*24,4)</f>
        <v>10</v>
      </c>
      <c r="T453" s="18" t="str">
        <f aca="false">TEXT(P453,"YYYY-MM")</f>
        <v>2026-06</v>
      </c>
      <c r="U453" s="18" t="n">
        <f aca="false">RANK(S453,$S$2:$S$670)+COUNTIF($S$2:S453,S453)-1</f>
        <v>144</v>
      </c>
      <c r="V453" s="20" t="n">
        <f aca="false">ROUND((R453-Q453)*24,4)</f>
        <v>8.5</v>
      </c>
      <c r="W453" s="20" t="n">
        <f aca="false">ROUND((R453-P453)*24,4)</f>
        <v>18.5</v>
      </c>
      <c r="X453" s="18" t="str">
        <f aca="false">TEXT(P453,"dddd")</f>
        <v>Monday</v>
      </c>
      <c r="Y453" s="18" t="n">
        <f aca="false">HOUR(Q453)</f>
        <v>6</v>
      </c>
    </row>
    <row r="454" customFormat="false" ht="15" hidden="false" customHeight="false" outlineLevel="0" collapsed="false">
      <c r="A454" s="18" t="s">
        <v>31</v>
      </c>
      <c r="B454" s="18" t="s">
        <v>236</v>
      </c>
      <c r="C454" s="18" t="s">
        <v>237</v>
      </c>
      <c r="D454" s="18" t="s">
        <v>46</v>
      </c>
      <c r="E454" s="18" t="s">
        <v>163</v>
      </c>
      <c r="F454" s="18" t="n">
        <v>2605</v>
      </c>
      <c r="G454" s="18" t="s">
        <v>125</v>
      </c>
      <c r="H454" s="18" t="s">
        <v>305</v>
      </c>
      <c r="I454" s="18" t="s">
        <v>24</v>
      </c>
      <c r="J454" s="18" t="s">
        <v>13</v>
      </c>
      <c r="K454" s="18" t="s">
        <v>165</v>
      </c>
      <c r="L454" s="18" t="s">
        <v>125</v>
      </c>
      <c r="M454" s="18" t="s">
        <v>125</v>
      </c>
      <c r="N454" s="18" t="s">
        <v>125</v>
      </c>
      <c r="O454" s="18"/>
      <c r="P454" s="19" t="n">
        <v>46189.125</v>
      </c>
      <c r="Q454" s="19" t="n">
        <v>46189.1666666667</v>
      </c>
      <c r="R454" s="19" t="n">
        <v>46189.6708333333</v>
      </c>
      <c r="S454" s="20" t="n">
        <f aca="false">ROUND((Q454-P454)*24,4)</f>
        <v>1</v>
      </c>
      <c r="T454" s="18" t="str">
        <f aca="false">TEXT(P454,"YYYY-MM")</f>
        <v>2026-06</v>
      </c>
      <c r="U454" s="18" t="n">
        <f aca="false">RANK(S454,$S$2:$S$670)+COUNTIF($S$2:S454,S454)-1</f>
        <v>504</v>
      </c>
      <c r="V454" s="20" t="n">
        <f aca="false">ROUND((R454-Q454)*24,4)</f>
        <v>12.1</v>
      </c>
      <c r="W454" s="20" t="n">
        <f aca="false">ROUND((R454-P454)*24,4)</f>
        <v>13.1</v>
      </c>
      <c r="X454" s="18" t="str">
        <f aca="false">TEXT(P454,"dddd")</f>
        <v>Tuesday</v>
      </c>
      <c r="Y454" s="18" t="n">
        <f aca="false">HOUR(Q454)</f>
        <v>4</v>
      </c>
    </row>
    <row r="455" customFormat="false" ht="15" hidden="false" customHeight="false" outlineLevel="0" collapsed="false">
      <c r="A455" s="18" t="s">
        <v>33</v>
      </c>
      <c r="B455" s="18" t="s">
        <v>246</v>
      </c>
      <c r="C455" s="18" t="s">
        <v>247</v>
      </c>
      <c r="D455" s="18" t="s">
        <v>51</v>
      </c>
      <c r="E455" s="18" t="s">
        <v>176</v>
      </c>
      <c r="F455" s="18" t="n">
        <v>147</v>
      </c>
      <c r="G455" s="18" t="s">
        <v>125</v>
      </c>
      <c r="H455" s="18" t="s">
        <v>325</v>
      </c>
      <c r="I455" s="18" t="s">
        <v>18</v>
      </c>
      <c r="J455" s="18" t="s">
        <v>12</v>
      </c>
      <c r="K455" s="18" t="s">
        <v>13</v>
      </c>
      <c r="L455" s="18" t="s">
        <v>125</v>
      </c>
      <c r="M455" s="18" t="s">
        <v>125</v>
      </c>
      <c r="N455" s="18" t="s">
        <v>125</v>
      </c>
      <c r="O455" s="18"/>
      <c r="P455" s="19" t="n">
        <v>46189.1666666667</v>
      </c>
      <c r="Q455" s="19" t="n">
        <v>46189.25</v>
      </c>
      <c r="R455" s="19" t="n">
        <v>46190.0416666667</v>
      </c>
      <c r="S455" s="20" t="n">
        <f aca="false">ROUND((Q455-P455)*24,4)</f>
        <v>2</v>
      </c>
      <c r="T455" s="18" t="str">
        <f aca="false">TEXT(P455,"YYYY-MM")</f>
        <v>2026-06</v>
      </c>
      <c r="U455" s="18" t="n">
        <f aca="false">RANK(S455,$S$2:$S$670)+COUNTIF($S$2:S455,S455)-1</f>
        <v>335</v>
      </c>
      <c r="V455" s="20" t="n">
        <f aca="false">ROUND((R455-Q455)*24,4)</f>
        <v>19</v>
      </c>
      <c r="W455" s="20" t="n">
        <f aca="false">ROUND((R455-P455)*24,4)</f>
        <v>21</v>
      </c>
      <c r="X455" s="18" t="str">
        <f aca="false">TEXT(P455,"dddd")</f>
        <v>Tuesday</v>
      </c>
      <c r="Y455" s="18" t="n">
        <f aca="false">HOUR(Q455)</f>
        <v>6</v>
      </c>
    </row>
    <row r="456" customFormat="false" ht="15" hidden="false" customHeight="false" outlineLevel="0" collapsed="false">
      <c r="A456" s="18" t="s">
        <v>34</v>
      </c>
      <c r="B456" s="18" t="s">
        <v>240</v>
      </c>
      <c r="C456" s="18" t="s">
        <v>241</v>
      </c>
      <c r="D456" s="18" t="s">
        <v>50</v>
      </c>
      <c r="E456" s="18" t="s">
        <v>176</v>
      </c>
      <c r="F456" s="18" t="n">
        <v>2607</v>
      </c>
      <c r="G456" s="18" t="s">
        <v>125</v>
      </c>
      <c r="H456" s="18" t="s">
        <v>290</v>
      </c>
      <c r="I456" s="18" t="s">
        <v>17</v>
      </c>
      <c r="J456" s="18" t="s">
        <v>12</v>
      </c>
      <c r="K456" s="18" t="s">
        <v>13</v>
      </c>
      <c r="L456" s="18" t="s">
        <v>125</v>
      </c>
      <c r="M456" s="18" t="s">
        <v>125</v>
      </c>
      <c r="N456" s="18" t="s">
        <v>125</v>
      </c>
      <c r="O456" s="18"/>
      <c r="P456" s="19" t="n">
        <v>46189.2916666667</v>
      </c>
      <c r="Q456" s="19" t="n">
        <v>46189.875</v>
      </c>
      <c r="R456" s="19" t="n">
        <v>46191.75</v>
      </c>
      <c r="S456" s="20" t="n">
        <f aca="false">ROUND((Q456-P456)*24,4)</f>
        <v>14</v>
      </c>
      <c r="T456" s="18" t="str">
        <f aca="false">TEXT(P456,"YYYY-MM")</f>
        <v>2026-06</v>
      </c>
      <c r="U456" s="18" t="n">
        <f aca="false">RANK(S456,$S$2:$S$670)+COUNTIF($S$2:S456,S456)-1</f>
        <v>97</v>
      </c>
      <c r="V456" s="20" t="n">
        <f aca="false">ROUND((R456-Q456)*24,4)</f>
        <v>45</v>
      </c>
      <c r="W456" s="20" t="n">
        <f aca="false">ROUND((R456-P456)*24,4)</f>
        <v>59</v>
      </c>
      <c r="X456" s="18" t="str">
        <f aca="false">TEXT(P456,"dddd")</f>
        <v>Tuesday</v>
      </c>
      <c r="Y456" s="18" t="n">
        <f aca="false">HOUR(Q456)</f>
        <v>21</v>
      </c>
    </row>
    <row r="457" customFormat="false" ht="15" hidden="false" customHeight="false" outlineLevel="0" collapsed="false">
      <c r="A457" s="18" t="s">
        <v>36</v>
      </c>
      <c r="B457" s="18" t="s">
        <v>306</v>
      </c>
      <c r="C457" s="18" t="s">
        <v>307</v>
      </c>
      <c r="D457" s="18" t="s">
        <v>47</v>
      </c>
      <c r="E457" s="18" t="s">
        <v>168</v>
      </c>
      <c r="F457" s="18" t="n">
        <v>2607</v>
      </c>
      <c r="G457" s="18" t="s">
        <v>127</v>
      </c>
      <c r="H457" s="18" t="s">
        <v>289</v>
      </c>
      <c r="I457" s="18" t="s">
        <v>26</v>
      </c>
      <c r="J457" s="18" t="s">
        <v>13</v>
      </c>
      <c r="K457" s="18" t="s">
        <v>12</v>
      </c>
      <c r="L457" s="18" t="s">
        <v>125</v>
      </c>
      <c r="M457" s="18" t="s">
        <v>125</v>
      </c>
      <c r="N457" s="18" t="s">
        <v>125</v>
      </c>
      <c r="O457" s="18"/>
      <c r="P457" s="19" t="n">
        <v>46189.9666666667</v>
      </c>
      <c r="Q457" s="19" t="n">
        <v>46190.0333333333</v>
      </c>
      <c r="R457" s="19" t="n">
        <v>46190.2625</v>
      </c>
      <c r="S457" s="20" t="n">
        <f aca="false">ROUND((Q457-P457)*24,4)</f>
        <v>1.6</v>
      </c>
      <c r="T457" s="18" t="str">
        <f aca="false">TEXT(P457,"YYYY-MM")</f>
        <v>2026-06</v>
      </c>
      <c r="U457" s="18" t="n">
        <f aca="false">RANK(S457,$S$2:$S$670)+COUNTIF($S$2:S457,S457)-1</f>
        <v>354</v>
      </c>
      <c r="V457" s="20" t="n">
        <f aca="false">ROUND((R457-Q457)*24,4)</f>
        <v>5.5</v>
      </c>
      <c r="W457" s="20" t="n">
        <f aca="false">ROUND((R457-P457)*24,4)</f>
        <v>7.1</v>
      </c>
      <c r="X457" s="18" t="str">
        <f aca="false">TEXT(P457,"dddd")</f>
        <v>Tuesday</v>
      </c>
      <c r="Y457" s="18" t="n">
        <f aca="false">HOUR(Q457)</f>
        <v>0</v>
      </c>
    </row>
    <row r="458" customFormat="false" ht="15" hidden="false" customHeight="false" outlineLevel="0" collapsed="false">
      <c r="A458" s="18" t="s">
        <v>33</v>
      </c>
      <c r="B458" s="18" t="s">
        <v>246</v>
      </c>
      <c r="C458" s="18" t="s">
        <v>247</v>
      </c>
      <c r="D458" s="18" t="s">
        <v>51</v>
      </c>
      <c r="E458" s="18" t="s">
        <v>185</v>
      </c>
      <c r="F458" s="18" t="n">
        <v>147</v>
      </c>
      <c r="G458" s="18" t="s">
        <v>125</v>
      </c>
      <c r="H458" s="18" t="s">
        <v>325</v>
      </c>
      <c r="I458" s="18" t="s">
        <v>23</v>
      </c>
      <c r="J458" s="18" t="s">
        <v>13</v>
      </c>
      <c r="K458" s="18" t="s">
        <v>165</v>
      </c>
      <c r="L458" s="18" t="s">
        <v>125</v>
      </c>
      <c r="M458" s="18" t="s">
        <v>125</v>
      </c>
      <c r="N458" s="18" t="s">
        <v>125</v>
      </c>
      <c r="O458" s="18"/>
      <c r="P458" s="19" t="n">
        <v>46190.2083333333</v>
      </c>
      <c r="Q458" s="19" t="n">
        <v>46190.25</v>
      </c>
      <c r="R458" s="19" t="n">
        <v>46190.6666666667</v>
      </c>
      <c r="S458" s="20" t="n">
        <f aca="false">ROUND((Q458-P458)*24,4)</f>
        <v>1</v>
      </c>
      <c r="T458" s="18" t="str">
        <f aca="false">TEXT(P458,"YYYY-MM")</f>
        <v>2026-06</v>
      </c>
      <c r="U458" s="18" t="n">
        <f aca="false">RANK(S458,$S$2:$S$670)+COUNTIF($S$2:S458,S458)-1</f>
        <v>505</v>
      </c>
      <c r="V458" s="20" t="n">
        <f aca="false">ROUND((R458-Q458)*24,4)</f>
        <v>10</v>
      </c>
      <c r="W458" s="20" t="n">
        <f aca="false">ROUND((R458-P458)*24,4)</f>
        <v>11</v>
      </c>
      <c r="X458" s="18" t="str">
        <f aca="false">TEXT(P458,"dddd")</f>
        <v>Wednesday</v>
      </c>
      <c r="Y458" s="18" t="n">
        <f aca="false">HOUR(Q458)</f>
        <v>6</v>
      </c>
    </row>
    <row r="459" customFormat="false" ht="15" hidden="false" customHeight="false" outlineLevel="0" collapsed="false">
      <c r="A459" s="18" t="s">
        <v>36</v>
      </c>
      <c r="B459" s="18" t="s">
        <v>306</v>
      </c>
      <c r="C459" s="18" t="s">
        <v>307</v>
      </c>
      <c r="D459" s="18" t="s">
        <v>47</v>
      </c>
      <c r="E459" s="18" t="s">
        <v>163</v>
      </c>
      <c r="F459" s="18" t="n">
        <v>2607</v>
      </c>
      <c r="G459" s="18" t="s">
        <v>125</v>
      </c>
      <c r="H459" s="18" t="s">
        <v>290</v>
      </c>
      <c r="I459" s="18" t="s">
        <v>17</v>
      </c>
      <c r="J459" s="18" t="s">
        <v>12</v>
      </c>
      <c r="K459" s="18" t="s">
        <v>13</v>
      </c>
      <c r="L459" s="18" t="s">
        <v>125</v>
      </c>
      <c r="M459" s="18" t="s">
        <v>125</v>
      </c>
      <c r="N459" s="18" t="s">
        <v>125</v>
      </c>
      <c r="O459" s="18"/>
      <c r="P459" s="19" t="n">
        <v>46190.3333333333</v>
      </c>
      <c r="Q459" s="19" t="n">
        <v>46190.875</v>
      </c>
      <c r="R459" s="19" t="n">
        <v>46192.75</v>
      </c>
      <c r="S459" s="20" t="n">
        <f aca="false">ROUND((Q459-P459)*24,4)</f>
        <v>13</v>
      </c>
      <c r="T459" s="18" t="str">
        <f aca="false">TEXT(P459,"YYYY-MM")</f>
        <v>2026-06</v>
      </c>
      <c r="U459" s="18" t="n">
        <f aca="false">RANK(S459,$S$2:$S$670)+COUNTIF($S$2:S459,S459)-1</f>
        <v>109</v>
      </c>
      <c r="V459" s="20" t="n">
        <f aca="false">ROUND((R459-Q459)*24,4)</f>
        <v>45</v>
      </c>
      <c r="W459" s="20" t="n">
        <f aca="false">ROUND((R459-P459)*24,4)</f>
        <v>58</v>
      </c>
      <c r="X459" s="18" t="str">
        <f aca="false">TEXT(P459,"dddd")</f>
        <v>Wednesday</v>
      </c>
      <c r="Y459" s="18" t="n">
        <f aca="false">HOUR(Q459)</f>
        <v>21</v>
      </c>
    </row>
    <row r="460" customFormat="false" ht="15" hidden="false" customHeight="false" outlineLevel="0" collapsed="false">
      <c r="A460" s="18" t="s">
        <v>34</v>
      </c>
      <c r="B460" s="18" t="s">
        <v>240</v>
      </c>
      <c r="C460" s="18" t="s">
        <v>241</v>
      </c>
      <c r="D460" s="18" t="s">
        <v>50</v>
      </c>
      <c r="E460" s="18" t="s">
        <v>185</v>
      </c>
      <c r="F460" s="18" t="n">
        <v>2607</v>
      </c>
      <c r="G460" s="18" t="s">
        <v>125</v>
      </c>
      <c r="H460" s="18" t="s">
        <v>290</v>
      </c>
      <c r="I460" s="18" t="s">
        <v>23</v>
      </c>
      <c r="J460" s="18" t="s">
        <v>13</v>
      </c>
      <c r="K460" s="18" t="s">
        <v>165</v>
      </c>
      <c r="L460" s="18" t="s">
        <v>125</v>
      </c>
      <c r="M460" s="18" t="s">
        <v>125</v>
      </c>
      <c r="N460" s="18" t="s">
        <v>125</v>
      </c>
      <c r="O460" s="18"/>
      <c r="P460" s="19" t="n">
        <v>46191.9583333333</v>
      </c>
      <c r="Q460" s="19" t="n">
        <v>46192</v>
      </c>
      <c r="R460" s="19" t="n">
        <v>46192.375</v>
      </c>
      <c r="S460" s="20" t="n">
        <f aca="false">ROUND((Q460-P460)*24,4)</f>
        <v>1</v>
      </c>
      <c r="T460" s="18" t="str">
        <f aca="false">TEXT(P460,"YYYY-MM")</f>
        <v>2026-06</v>
      </c>
      <c r="U460" s="18" t="n">
        <f aca="false">RANK(S460,$S$2:$S$670)+COUNTIF($S$2:S460,S460)-1</f>
        <v>506</v>
      </c>
      <c r="V460" s="20" t="n">
        <f aca="false">ROUND((R460-Q460)*24,4)</f>
        <v>9</v>
      </c>
      <c r="W460" s="20" t="n">
        <f aca="false">ROUND((R460-P460)*24,4)</f>
        <v>10</v>
      </c>
      <c r="X460" s="18" t="str">
        <f aca="false">TEXT(P460,"dddd")</f>
        <v>Thursday</v>
      </c>
      <c r="Y460" s="18" t="n">
        <f aca="false">HOUR(Q460)</f>
        <v>0</v>
      </c>
    </row>
    <row r="461" customFormat="false" ht="15" hidden="false" customHeight="false" outlineLevel="0" collapsed="false">
      <c r="A461" s="18" t="s">
        <v>35</v>
      </c>
      <c r="B461" s="18" t="s">
        <v>199</v>
      </c>
      <c r="C461" s="18" t="s">
        <v>200</v>
      </c>
      <c r="D461" s="18" t="s">
        <v>46</v>
      </c>
      <c r="E461" s="18" t="s">
        <v>198</v>
      </c>
      <c r="F461" s="18" t="n">
        <v>2606</v>
      </c>
      <c r="G461" s="18" t="s">
        <v>127</v>
      </c>
      <c r="H461" s="18" t="s">
        <v>269</v>
      </c>
      <c r="I461" s="18" t="s">
        <v>28</v>
      </c>
      <c r="J461" s="18" t="s">
        <v>13</v>
      </c>
      <c r="K461" s="18" t="s">
        <v>12</v>
      </c>
      <c r="L461" s="18" t="s">
        <v>125</v>
      </c>
      <c r="M461" s="18" t="s">
        <v>125</v>
      </c>
      <c r="N461" s="18" t="s">
        <v>125</v>
      </c>
      <c r="O461" s="18"/>
      <c r="P461" s="19" t="n">
        <v>46192.125</v>
      </c>
      <c r="Q461" s="19" t="n">
        <v>46192.1666666667</v>
      </c>
      <c r="R461" s="19" t="n">
        <v>46192.5</v>
      </c>
      <c r="S461" s="20" t="n">
        <f aca="false">ROUND((Q461-P461)*24,4)</f>
        <v>1</v>
      </c>
      <c r="T461" s="18" t="str">
        <f aca="false">TEXT(P461,"YYYY-MM")</f>
        <v>2026-06</v>
      </c>
      <c r="U461" s="18" t="n">
        <f aca="false">RANK(S461,$S$2:$S$670)+COUNTIF($S$2:S461,S461)-1</f>
        <v>507</v>
      </c>
      <c r="V461" s="20" t="n">
        <f aca="false">ROUND((R461-Q461)*24,4)</f>
        <v>8</v>
      </c>
      <c r="W461" s="20" t="n">
        <f aca="false">ROUND((R461-P461)*24,4)</f>
        <v>9</v>
      </c>
      <c r="X461" s="18" t="str">
        <f aca="false">TEXT(P461,"dddd")</f>
        <v>Friday</v>
      </c>
      <c r="Y461" s="18" t="n">
        <f aca="false">HOUR(Q461)</f>
        <v>4</v>
      </c>
    </row>
    <row r="462" customFormat="false" ht="15" hidden="false" customHeight="false" outlineLevel="0" collapsed="false">
      <c r="A462" s="18" t="s">
        <v>37</v>
      </c>
      <c r="B462" s="18" t="s">
        <v>242</v>
      </c>
      <c r="C462" s="18" t="s">
        <v>243</v>
      </c>
      <c r="D462" s="18" t="s">
        <v>46</v>
      </c>
      <c r="E462" s="18" t="s">
        <v>163</v>
      </c>
      <c r="F462" s="18" t="n">
        <v>2606</v>
      </c>
      <c r="G462" s="18" t="s">
        <v>127</v>
      </c>
      <c r="H462" s="18" t="s">
        <v>269</v>
      </c>
      <c r="I462" s="18" t="s">
        <v>20</v>
      </c>
      <c r="J462" s="18" t="s">
        <v>13</v>
      </c>
      <c r="K462" s="18" t="s">
        <v>12</v>
      </c>
      <c r="L462" s="18" t="s">
        <v>125</v>
      </c>
      <c r="M462" s="18" t="s">
        <v>125</v>
      </c>
      <c r="N462" s="18" t="s">
        <v>125</v>
      </c>
      <c r="O462" s="18"/>
      <c r="P462" s="19" t="n">
        <v>46192.4375</v>
      </c>
      <c r="Q462" s="19" t="n">
        <v>46192.4791666667</v>
      </c>
      <c r="R462" s="19" t="n">
        <v>46192.8416666667</v>
      </c>
      <c r="S462" s="20" t="n">
        <f aca="false">ROUND((Q462-P462)*24,4)</f>
        <v>1</v>
      </c>
      <c r="T462" s="18" t="str">
        <f aca="false">TEXT(P462,"YYYY-MM")</f>
        <v>2026-06</v>
      </c>
      <c r="U462" s="18" t="n">
        <f aca="false">RANK(S462,$S$2:$S$670)+COUNTIF($S$2:S462,S462)-1</f>
        <v>508</v>
      </c>
      <c r="V462" s="20" t="n">
        <f aca="false">ROUND((R462-Q462)*24,4)</f>
        <v>8.7</v>
      </c>
      <c r="W462" s="20" t="n">
        <f aca="false">ROUND((R462-P462)*24,4)</f>
        <v>9.7</v>
      </c>
      <c r="X462" s="18" t="str">
        <f aca="false">TEXT(P462,"dddd")</f>
        <v>Friday</v>
      </c>
      <c r="Y462" s="18" t="n">
        <f aca="false">HOUR(Q462)</f>
        <v>11</v>
      </c>
    </row>
    <row r="463" customFormat="false" ht="15" hidden="false" customHeight="false" outlineLevel="0" collapsed="false">
      <c r="A463" s="18" t="s">
        <v>35</v>
      </c>
      <c r="B463" s="18" t="s">
        <v>199</v>
      </c>
      <c r="C463" s="18" t="s">
        <v>200</v>
      </c>
      <c r="D463" s="18" t="s">
        <v>46</v>
      </c>
      <c r="E463" s="18" t="s">
        <v>168</v>
      </c>
      <c r="F463" s="18" t="n">
        <v>2606</v>
      </c>
      <c r="G463" s="18" t="s">
        <v>125</v>
      </c>
      <c r="H463" s="18" t="s">
        <v>270</v>
      </c>
      <c r="I463" s="18" t="s">
        <v>19</v>
      </c>
      <c r="J463" s="18" t="s">
        <v>12</v>
      </c>
      <c r="K463" s="18" t="s">
        <v>13</v>
      </c>
      <c r="L463" s="18" t="s">
        <v>125</v>
      </c>
      <c r="M463" s="18" t="s">
        <v>125</v>
      </c>
      <c r="N463" s="18" t="s">
        <v>125</v>
      </c>
      <c r="O463" s="18"/>
      <c r="P463" s="19" t="n">
        <v>46192.7083333333</v>
      </c>
      <c r="Q463" s="19" t="n">
        <v>46192.9166666667</v>
      </c>
      <c r="R463" s="19" t="n">
        <v>46194.8333333333</v>
      </c>
      <c r="S463" s="20" t="n">
        <f aca="false">ROUND((Q463-P463)*24,4)</f>
        <v>5</v>
      </c>
      <c r="T463" s="18" t="str">
        <f aca="false">TEXT(P463,"YYYY-MM")</f>
        <v>2026-06</v>
      </c>
      <c r="U463" s="18" t="n">
        <f aca="false">RANK(S463,$S$2:$S$670)+COUNTIF($S$2:S463,S463)-1</f>
        <v>233</v>
      </c>
      <c r="V463" s="20" t="n">
        <f aca="false">ROUND((R463-Q463)*24,4)</f>
        <v>46</v>
      </c>
      <c r="W463" s="20" t="n">
        <f aca="false">ROUND((R463-P463)*24,4)</f>
        <v>51</v>
      </c>
      <c r="X463" s="18" t="str">
        <f aca="false">TEXT(P463,"dddd")</f>
        <v>Friday</v>
      </c>
      <c r="Y463" s="18" t="n">
        <f aca="false">HOUR(Q463)</f>
        <v>22</v>
      </c>
    </row>
    <row r="464" customFormat="false" ht="15" hidden="false" customHeight="false" outlineLevel="0" collapsed="false">
      <c r="A464" s="18" t="s">
        <v>32</v>
      </c>
      <c r="B464" s="18" t="s">
        <v>182</v>
      </c>
      <c r="C464" s="18" t="s">
        <v>183</v>
      </c>
      <c r="D464" s="18" t="s">
        <v>48</v>
      </c>
      <c r="E464" s="18" t="s">
        <v>168</v>
      </c>
      <c r="F464" s="18" t="n">
        <v>2607</v>
      </c>
      <c r="G464" s="18" t="s">
        <v>127</v>
      </c>
      <c r="H464" s="18" t="s">
        <v>289</v>
      </c>
      <c r="I464" s="18" t="s">
        <v>23</v>
      </c>
      <c r="J464" s="18" t="s">
        <v>13</v>
      </c>
      <c r="K464" s="18" t="s">
        <v>12</v>
      </c>
      <c r="L464" s="18" t="s">
        <v>125</v>
      </c>
      <c r="M464" s="18" t="s">
        <v>125</v>
      </c>
      <c r="N464" s="18" t="s">
        <v>125</v>
      </c>
      <c r="O464" s="18"/>
      <c r="P464" s="19" t="n">
        <v>46192.8125</v>
      </c>
      <c r="Q464" s="19" t="n">
        <v>46192.8958333333</v>
      </c>
      <c r="R464" s="19" t="n">
        <v>46193.2083333333</v>
      </c>
      <c r="S464" s="20" t="n">
        <f aca="false">ROUND((Q464-P464)*24,4)</f>
        <v>2</v>
      </c>
      <c r="T464" s="18" t="str">
        <f aca="false">TEXT(P464,"YYYY-MM")</f>
        <v>2026-06</v>
      </c>
      <c r="U464" s="18" t="n">
        <f aca="false">RANK(S464,$S$2:$S$670)+COUNTIF($S$2:S464,S464)-1</f>
        <v>336</v>
      </c>
      <c r="V464" s="20" t="n">
        <f aca="false">ROUND((R464-Q464)*24,4)</f>
        <v>7.5</v>
      </c>
      <c r="W464" s="20" t="n">
        <f aca="false">ROUND((R464-P464)*24,4)</f>
        <v>9.5</v>
      </c>
      <c r="X464" s="18" t="str">
        <f aca="false">TEXT(P464,"dddd")</f>
        <v>Friday</v>
      </c>
      <c r="Y464" s="18" t="n">
        <f aca="false">HOUR(Q464)</f>
        <v>21</v>
      </c>
    </row>
    <row r="465" customFormat="false" ht="15" hidden="false" customHeight="false" outlineLevel="0" collapsed="false">
      <c r="A465" s="18" t="s">
        <v>37</v>
      </c>
      <c r="B465" s="18" t="s">
        <v>242</v>
      </c>
      <c r="C465" s="18" t="s">
        <v>243</v>
      </c>
      <c r="D465" s="18" t="s">
        <v>46</v>
      </c>
      <c r="E465" s="18" t="s">
        <v>176</v>
      </c>
      <c r="F465" s="18" t="n">
        <v>2606</v>
      </c>
      <c r="G465" s="18" t="s">
        <v>125</v>
      </c>
      <c r="H465" s="18" t="s">
        <v>270</v>
      </c>
      <c r="I465" s="18" t="s">
        <v>19</v>
      </c>
      <c r="J465" s="18" t="s">
        <v>12</v>
      </c>
      <c r="K465" s="18" t="s">
        <v>13</v>
      </c>
      <c r="L465" s="18" t="s">
        <v>125</v>
      </c>
      <c r="M465" s="18" t="s">
        <v>125</v>
      </c>
      <c r="N465" s="18" t="s">
        <v>125</v>
      </c>
      <c r="O465" s="18"/>
      <c r="P465" s="19" t="n">
        <v>46192.9083333333</v>
      </c>
      <c r="Q465" s="19" t="n">
        <v>46194.0416666667</v>
      </c>
      <c r="R465" s="19" t="n">
        <v>46195.8375</v>
      </c>
      <c r="S465" s="20" t="n">
        <f aca="false">ROUND((Q465-P465)*24,4)</f>
        <v>27.2</v>
      </c>
      <c r="T465" s="18" t="str">
        <f aca="false">TEXT(P465,"YYYY-MM")</f>
        <v>2026-06</v>
      </c>
      <c r="U465" s="18" t="n">
        <f aca="false">RANK(S465,$S$2:$S$670)+COUNTIF($S$2:S465,S465)-1</f>
        <v>26</v>
      </c>
      <c r="V465" s="20" t="n">
        <f aca="false">ROUND((R465-Q465)*24,4)</f>
        <v>43.1</v>
      </c>
      <c r="W465" s="20" t="n">
        <f aca="false">ROUND((R465-P465)*24,4)</f>
        <v>70.3</v>
      </c>
      <c r="X465" s="18" t="str">
        <f aca="false">TEXT(P465,"dddd")</f>
        <v>Friday</v>
      </c>
      <c r="Y465" s="18" t="n">
        <f aca="false">HOUR(Q465)</f>
        <v>1</v>
      </c>
    </row>
    <row r="466" customFormat="false" ht="15" hidden="false" customHeight="false" outlineLevel="0" collapsed="false">
      <c r="A466" s="18" t="s">
        <v>36</v>
      </c>
      <c r="B466" s="18" t="s">
        <v>306</v>
      </c>
      <c r="C466" s="18" t="s">
        <v>307</v>
      </c>
      <c r="D466" s="18" t="s">
        <v>47</v>
      </c>
      <c r="E466" s="18" t="s">
        <v>176</v>
      </c>
      <c r="F466" s="18" t="n">
        <v>2607</v>
      </c>
      <c r="G466" s="18" t="s">
        <v>125</v>
      </c>
      <c r="H466" s="18" t="s">
        <v>290</v>
      </c>
      <c r="I466" s="18" t="s">
        <v>23</v>
      </c>
      <c r="J466" s="18" t="s">
        <v>13</v>
      </c>
      <c r="K466" s="18" t="s">
        <v>186</v>
      </c>
      <c r="L466" s="18" t="s">
        <v>125</v>
      </c>
      <c r="M466" s="18" t="s">
        <v>125</v>
      </c>
      <c r="N466" s="18" t="s">
        <v>125</v>
      </c>
      <c r="O466" s="18"/>
      <c r="P466" s="19" t="n">
        <v>46192.9666666667</v>
      </c>
      <c r="Q466" s="19" t="n">
        <v>46193.0291666667</v>
      </c>
      <c r="R466" s="19" t="n">
        <v>46193.4041666667</v>
      </c>
      <c r="S466" s="20" t="n">
        <f aca="false">ROUND((Q466-P466)*24,4)</f>
        <v>1.5</v>
      </c>
      <c r="T466" s="18" t="str">
        <f aca="false">TEXT(P466,"YYYY-MM")</f>
        <v>2026-06</v>
      </c>
      <c r="U466" s="18" t="n">
        <f aca="false">RANK(S466,$S$2:$S$670)+COUNTIF($S$2:S466,S466)-1</f>
        <v>360</v>
      </c>
      <c r="V466" s="20" t="n">
        <f aca="false">ROUND((R466-Q466)*24,4)</f>
        <v>9</v>
      </c>
      <c r="W466" s="20" t="n">
        <f aca="false">ROUND((R466-P466)*24,4)</f>
        <v>10.5</v>
      </c>
      <c r="X466" s="18" t="str">
        <f aca="false">TEXT(P466,"dddd")</f>
        <v>Friday</v>
      </c>
      <c r="Y466" s="18" t="n">
        <f aca="false">HOUR(Q466)</f>
        <v>0</v>
      </c>
    </row>
    <row r="467" customFormat="false" ht="15" hidden="false" customHeight="false" outlineLevel="0" collapsed="false">
      <c r="A467" s="18" t="s">
        <v>33</v>
      </c>
      <c r="B467" s="18" t="s">
        <v>174</v>
      </c>
      <c r="C467" s="18" t="s">
        <v>175</v>
      </c>
      <c r="D467" s="18" t="s">
        <v>49</v>
      </c>
      <c r="E467" s="18" t="s">
        <v>163</v>
      </c>
      <c r="F467" s="18" t="n">
        <v>2607</v>
      </c>
      <c r="G467" s="18" t="s">
        <v>127</v>
      </c>
      <c r="H467" s="18" t="s">
        <v>289</v>
      </c>
      <c r="I467" s="18" t="s">
        <v>23</v>
      </c>
      <c r="J467" s="18" t="s">
        <v>13</v>
      </c>
      <c r="K467" s="18" t="s">
        <v>12</v>
      </c>
      <c r="L467" s="18" t="s">
        <v>125</v>
      </c>
      <c r="M467" s="18" t="s">
        <v>125</v>
      </c>
      <c r="N467" s="18" t="s">
        <v>125</v>
      </c>
      <c r="O467" s="18"/>
      <c r="P467" s="19" t="n">
        <v>46193.1666666667</v>
      </c>
      <c r="Q467" s="19" t="n">
        <v>46193.2083333333</v>
      </c>
      <c r="R467" s="19" t="n">
        <v>46193.5416666667</v>
      </c>
      <c r="S467" s="20" t="n">
        <f aca="false">ROUND((Q467-P467)*24,4)</f>
        <v>1</v>
      </c>
      <c r="T467" s="18" t="str">
        <f aca="false">TEXT(P467,"YYYY-MM")</f>
        <v>2026-06</v>
      </c>
      <c r="U467" s="18" t="n">
        <f aca="false">RANK(S467,$S$2:$S$670)+COUNTIF($S$2:S467,S467)-1</f>
        <v>509</v>
      </c>
      <c r="V467" s="20" t="n">
        <f aca="false">ROUND((R467-Q467)*24,4)</f>
        <v>8</v>
      </c>
      <c r="W467" s="20" t="n">
        <f aca="false">ROUND((R467-P467)*24,4)</f>
        <v>9</v>
      </c>
      <c r="X467" s="18" t="str">
        <f aca="false">TEXT(P467,"dddd")</f>
        <v>Saturday</v>
      </c>
      <c r="Y467" s="18" t="n">
        <f aca="false">HOUR(Q467)</f>
        <v>5</v>
      </c>
    </row>
    <row r="468" customFormat="false" ht="15" hidden="false" customHeight="false" outlineLevel="0" collapsed="false">
      <c r="A468" s="18" t="s">
        <v>32</v>
      </c>
      <c r="B468" s="18" t="s">
        <v>182</v>
      </c>
      <c r="C468" s="18" t="s">
        <v>183</v>
      </c>
      <c r="D468" s="18" t="s">
        <v>48</v>
      </c>
      <c r="E468" s="18" t="s">
        <v>163</v>
      </c>
      <c r="F468" s="18" t="n">
        <v>2607</v>
      </c>
      <c r="G468" s="18" t="s">
        <v>125</v>
      </c>
      <c r="H468" s="18" t="s">
        <v>290</v>
      </c>
      <c r="I468" s="18" t="s">
        <v>17</v>
      </c>
      <c r="J468" s="18" t="s">
        <v>12</v>
      </c>
      <c r="K468" s="18" t="s">
        <v>13</v>
      </c>
      <c r="L468" s="18" t="s">
        <v>125</v>
      </c>
      <c r="M468" s="18" t="s">
        <v>125</v>
      </c>
      <c r="N468" s="18" t="s">
        <v>125</v>
      </c>
      <c r="O468" s="18"/>
      <c r="P468" s="19" t="n">
        <v>46193.3125</v>
      </c>
      <c r="Q468" s="19" t="n">
        <v>46193.9166666667</v>
      </c>
      <c r="R468" s="19" t="n">
        <v>46195.7708333333</v>
      </c>
      <c r="S468" s="20" t="n">
        <f aca="false">ROUND((Q468-P468)*24,4)</f>
        <v>14.5</v>
      </c>
      <c r="T468" s="18" t="str">
        <f aca="false">TEXT(P468,"YYYY-MM")</f>
        <v>2026-06</v>
      </c>
      <c r="U468" s="18" t="n">
        <f aca="false">RANK(S468,$S$2:$S$670)+COUNTIF($S$2:S468,S468)-1</f>
        <v>89</v>
      </c>
      <c r="V468" s="20" t="n">
        <f aca="false">ROUND((R468-Q468)*24,4)</f>
        <v>44.5</v>
      </c>
      <c r="W468" s="20" t="n">
        <f aca="false">ROUND((R468-P468)*24,4)</f>
        <v>59</v>
      </c>
      <c r="X468" s="18" t="str">
        <f aca="false">TEXT(P468,"dddd")</f>
        <v>Saturday</v>
      </c>
      <c r="Y468" s="18" t="n">
        <f aca="false">HOUR(Q468)</f>
        <v>22</v>
      </c>
    </row>
    <row r="469" customFormat="false" ht="15" hidden="false" customHeight="false" outlineLevel="0" collapsed="false">
      <c r="A469" s="18" t="s">
        <v>33</v>
      </c>
      <c r="B469" s="18" t="s">
        <v>174</v>
      </c>
      <c r="C469" s="18" t="s">
        <v>175</v>
      </c>
      <c r="D469" s="18" t="s">
        <v>49</v>
      </c>
      <c r="E469" s="18" t="s">
        <v>176</v>
      </c>
      <c r="F469" s="18" t="n">
        <v>2607</v>
      </c>
      <c r="G469" s="18" t="s">
        <v>125</v>
      </c>
      <c r="H469" s="18" t="s">
        <v>290</v>
      </c>
      <c r="I469" s="18" t="s">
        <v>18</v>
      </c>
      <c r="J469" s="18" t="s">
        <v>12</v>
      </c>
      <c r="K469" s="18" t="s">
        <v>13</v>
      </c>
      <c r="L469" s="18" t="s">
        <v>125</v>
      </c>
      <c r="M469" s="18" t="s">
        <v>125</v>
      </c>
      <c r="N469" s="18" t="s">
        <v>125</v>
      </c>
      <c r="O469" s="18"/>
      <c r="P469" s="19" t="n">
        <v>46193.625</v>
      </c>
      <c r="Q469" s="19" t="n">
        <v>46193.875</v>
      </c>
      <c r="R469" s="19" t="n">
        <v>46194.7916666667</v>
      </c>
      <c r="S469" s="20" t="n">
        <f aca="false">ROUND((Q469-P469)*24,4)</f>
        <v>6</v>
      </c>
      <c r="T469" s="18" t="str">
        <f aca="false">TEXT(P469,"YYYY-MM")</f>
        <v>2026-06</v>
      </c>
      <c r="U469" s="18" t="n">
        <f aca="false">RANK(S469,$S$2:$S$670)+COUNTIF($S$2:S469,S469)-1</f>
        <v>216</v>
      </c>
      <c r="V469" s="20" t="n">
        <f aca="false">ROUND((R469-Q469)*24,4)</f>
        <v>22</v>
      </c>
      <c r="W469" s="20" t="n">
        <f aca="false">ROUND((R469-P469)*24,4)</f>
        <v>28</v>
      </c>
      <c r="X469" s="18" t="str">
        <f aca="false">TEXT(P469,"dddd")</f>
        <v>Saturday</v>
      </c>
      <c r="Y469" s="18" t="n">
        <f aca="false">HOUR(Q469)</f>
        <v>21</v>
      </c>
    </row>
    <row r="470" customFormat="false" ht="15" hidden="false" customHeight="false" outlineLevel="0" collapsed="false">
      <c r="A470" s="18" t="s">
        <v>33</v>
      </c>
      <c r="B470" s="18" t="s">
        <v>174</v>
      </c>
      <c r="C470" s="18" t="s">
        <v>175</v>
      </c>
      <c r="D470" s="18" t="s">
        <v>49</v>
      </c>
      <c r="E470" s="18" t="s">
        <v>185</v>
      </c>
      <c r="F470" s="18" t="n">
        <v>2607</v>
      </c>
      <c r="G470" s="18" t="s">
        <v>125</v>
      </c>
      <c r="H470" s="18" t="s">
        <v>290</v>
      </c>
      <c r="I470" s="18" t="s">
        <v>23</v>
      </c>
      <c r="J470" s="18" t="s">
        <v>13</v>
      </c>
      <c r="K470" s="18" t="s">
        <v>165</v>
      </c>
      <c r="L470" s="18" t="s">
        <v>125</v>
      </c>
      <c r="M470" s="18" t="s">
        <v>125</v>
      </c>
      <c r="N470" s="18" t="s">
        <v>125</v>
      </c>
      <c r="O470" s="18"/>
      <c r="P470" s="19" t="n">
        <v>46194.9375</v>
      </c>
      <c r="Q470" s="19" t="n">
        <v>46194.9791666667</v>
      </c>
      <c r="R470" s="19" t="n">
        <v>46195.3333333333</v>
      </c>
      <c r="S470" s="20" t="n">
        <f aca="false">ROUND((Q470-P470)*24,4)</f>
        <v>1</v>
      </c>
      <c r="T470" s="18" t="str">
        <f aca="false">TEXT(P470,"YYYY-MM")</f>
        <v>2026-06</v>
      </c>
      <c r="U470" s="18" t="n">
        <f aca="false">RANK(S470,$S$2:$S$670)+COUNTIF($S$2:S470,S470)-1</f>
        <v>510</v>
      </c>
      <c r="V470" s="20" t="n">
        <f aca="false">ROUND((R470-Q470)*24,4)</f>
        <v>8.5</v>
      </c>
      <c r="W470" s="20" t="n">
        <f aca="false">ROUND((R470-P470)*24,4)</f>
        <v>9.5</v>
      </c>
      <c r="X470" s="18" t="str">
        <f aca="false">TEXT(P470,"dddd")</f>
        <v>Sunday</v>
      </c>
      <c r="Y470" s="18" t="n">
        <f aca="false">HOUR(Q470)</f>
        <v>23</v>
      </c>
    </row>
    <row r="471" customFormat="false" ht="15" hidden="false" customHeight="false" outlineLevel="0" collapsed="false">
      <c r="A471" s="18" t="s">
        <v>35</v>
      </c>
      <c r="B471" s="18" t="s">
        <v>199</v>
      </c>
      <c r="C471" s="18" t="s">
        <v>200</v>
      </c>
      <c r="D471" s="18" t="s">
        <v>46</v>
      </c>
      <c r="E471" s="18" t="s">
        <v>163</v>
      </c>
      <c r="F471" s="18" t="n">
        <v>2606</v>
      </c>
      <c r="G471" s="18" t="s">
        <v>125</v>
      </c>
      <c r="H471" s="18" t="s">
        <v>270</v>
      </c>
      <c r="I471" s="18" t="s">
        <v>28</v>
      </c>
      <c r="J471" s="18" t="s">
        <v>13</v>
      </c>
      <c r="K471" s="18" t="s">
        <v>186</v>
      </c>
      <c r="L471" s="18" t="s">
        <v>125</v>
      </c>
      <c r="M471" s="18" t="s">
        <v>125</v>
      </c>
      <c r="N471" s="18" t="s">
        <v>125</v>
      </c>
      <c r="O471" s="18"/>
      <c r="P471" s="19" t="n">
        <v>46195.0416666667</v>
      </c>
      <c r="Q471" s="19" t="n">
        <v>46195.2083333333</v>
      </c>
      <c r="R471" s="19" t="n">
        <v>46195.75</v>
      </c>
      <c r="S471" s="20" t="n">
        <f aca="false">ROUND((Q471-P471)*24,4)</f>
        <v>4</v>
      </c>
      <c r="T471" s="18" t="str">
        <f aca="false">TEXT(P471,"YYYY-MM")</f>
        <v>2026-06</v>
      </c>
      <c r="U471" s="18" t="n">
        <f aca="false">RANK(S471,$S$2:$S$670)+COUNTIF($S$2:S471,S471)-1</f>
        <v>253</v>
      </c>
      <c r="V471" s="20" t="n">
        <f aca="false">ROUND((R471-Q471)*24,4)</f>
        <v>13</v>
      </c>
      <c r="W471" s="20" t="n">
        <f aca="false">ROUND((R471-P471)*24,4)</f>
        <v>17</v>
      </c>
      <c r="X471" s="18" t="str">
        <f aca="false">TEXT(P471,"dddd")</f>
        <v>Monday</v>
      </c>
      <c r="Y471" s="18" t="n">
        <f aca="false">HOUR(Q471)</f>
        <v>5</v>
      </c>
    </row>
    <row r="472" customFormat="false" ht="15" hidden="false" customHeight="false" outlineLevel="0" collapsed="false">
      <c r="A472" s="18" t="s">
        <v>32</v>
      </c>
      <c r="B472" s="18" t="s">
        <v>182</v>
      </c>
      <c r="C472" s="18" t="s">
        <v>183</v>
      </c>
      <c r="D472" s="18" t="s">
        <v>48</v>
      </c>
      <c r="E472" s="18" t="s">
        <v>176</v>
      </c>
      <c r="F472" s="18" t="n">
        <v>2607</v>
      </c>
      <c r="G472" s="18" t="s">
        <v>125</v>
      </c>
      <c r="H472" s="18" t="s">
        <v>290</v>
      </c>
      <c r="I472" s="18" t="s">
        <v>23</v>
      </c>
      <c r="J472" s="18" t="s">
        <v>13</v>
      </c>
      <c r="K472" s="18" t="s">
        <v>186</v>
      </c>
      <c r="L472" s="18" t="s">
        <v>125</v>
      </c>
      <c r="M472" s="18" t="s">
        <v>125</v>
      </c>
      <c r="N472" s="18" t="s">
        <v>125</v>
      </c>
      <c r="O472" s="18"/>
      <c r="P472" s="19" t="n">
        <v>46196</v>
      </c>
      <c r="Q472" s="19" t="n">
        <v>46196.0416666667</v>
      </c>
      <c r="R472" s="19" t="n">
        <v>46196.375</v>
      </c>
      <c r="S472" s="20" t="n">
        <f aca="false">ROUND((Q472-P472)*24,4)</f>
        <v>1</v>
      </c>
      <c r="T472" s="18" t="str">
        <f aca="false">TEXT(P472,"YYYY-MM")</f>
        <v>2026-06</v>
      </c>
      <c r="U472" s="18" t="n">
        <f aca="false">RANK(S472,$S$2:$S$670)+COUNTIF($S$2:S472,S472)-1</f>
        <v>511</v>
      </c>
      <c r="V472" s="20" t="n">
        <f aca="false">ROUND((R472-Q472)*24,4)</f>
        <v>8</v>
      </c>
      <c r="W472" s="20" t="n">
        <f aca="false">ROUND((R472-P472)*24,4)</f>
        <v>9</v>
      </c>
      <c r="X472" s="18" t="str">
        <f aca="false">TEXT(P472,"dddd")</f>
        <v>Tuesday</v>
      </c>
      <c r="Y472" s="18" t="n">
        <f aca="false">HOUR(Q472)</f>
        <v>1</v>
      </c>
    </row>
    <row r="473" customFormat="false" ht="15" hidden="false" customHeight="false" outlineLevel="0" collapsed="false">
      <c r="A473" s="18" t="s">
        <v>37</v>
      </c>
      <c r="B473" s="18" t="s">
        <v>242</v>
      </c>
      <c r="C473" s="18" t="s">
        <v>243</v>
      </c>
      <c r="D473" s="18" t="s">
        <v>46</v>
      </c>
      <c r="E473" s="18" t="s">
        <v>185</v>
      </c>
      <c r="F473" s="18" t="n">
        <v>2606</v>
      </c>
      <c r="G473" s="18" t="s">
        <v>125</v>
      </c>
      <c r="H473" s="18" t="s">
        <v>270</v>
      </c>
      <c r="I473" s="18" t="s">
        <v>20</v>
      </c>
      <c r="J473" s="18" t="s">
        <v>13</v>
      </c>
      <c r="K473" s="18" t="s">
        <v>165</v>
      </c>
      <c r="L473" s="18" t="s">
        <v>125</v>
      </c>
      <c r="M473" s="18" t="s">
        <v>125</v>
      </c>
      <c r="N473" s="18" t="s">
        <v>125</v>
      </c>
      <c r="O473" s="18"/>
      <c r="P473" s="19" t="n">
        <v>46196.025</v>
      </c>
      <c r="Q473" s="19" t="n">
        <v>46196.0666666667</v>
      </c>
      <c r="R473" s="19" t="n">
        <v>46196.7458333333</v>
      </c>
      <c r="S473" s="20" t="n">
        <f aca="false">ROUND((Q473-P473)*24,4)</f>
        <v>1</v>
      </c>
      <c r="T473" s="18" t="str">
        <f aca="false">TEXT(P473,"YYYY-MM")</f>
        <v>2026-06</v>
      </c>
      <c r="U473" s="18" t="n">
        <f aca="false">RANK(S473,$S$2:$S$670)+COUNTIF($S$2:S473,S473)-1</f>
        <v>512</v>
      </c>
      <c r="V473" s="20" t="n">
        <f aca="false">ROUND((R473-Q473)*24,4)</f>
        <v>16.3</v>
      </c>
      <c r="W473" s="20" t="n">
        <f aca="false">ROUND((R473-P473)*24,4)</f>
        <v>17.3</v>
      </c>
      <c r="X473" s="18" t="str">
        <f aca="false">TEXT(P473,"dddd")</f>
        <v>Tuesday</v>
      </c>
      <c r="Y473" s="18" t="n">
        <f aca="false">HOUR(Q473)</f>
        <v>1</v>
      </c>
    </row>
    <row r="474" customFormat="false" ht="15" hidden="false" customHeight="false" outlineLevel="0" collapsed="false">
      <c r="A474" s="18" t="s">
        <v>38</v>
      </c>
      <c r="B474" s="18" t="s">
        <v>255</v>
      </c>
      <c r="C474" s="18" t="s">
        <v>256</v>
      </c>
      <c r="D474" s="18" t="s">
        <v>46</v>
      </c>
      <c r="E474" s="18" t="s">
        <v>163</v>
      </c>
      <c r="F474" s="18" t="n">
        <v>2605</v>
      </c>
      <c r="G474" s="18" t="s">
        <v>127</v>
      </c>
      <c r="H474" s="18" t="s">
        <v>304</v>
      </c>
      <c r="I474" s="18" t="s">
        <v>23</v>
      </c>
      <c r="J474" s="18" t="s">
        <v>13</v>
      </c>
      <c r="K474" s="18" t="s">
        <v>181</v>
      </c>
      <c r="L474" s="18" t="s">
        <v>125</v>
      </c>
      <c r="M474" s="18" t="s">
        <v>125</v>
      </c>
      <c r="N474" s="18" t="s">
        <v>125</v>
      </c>
      <c r="O474" s="18"/>
      <c r="P474" s="19" t="n">
        <v>46196.2083333333</v>
      </c>
      <c r="Q474" s="19" t="n">
        <v>46196.475</v>
      </c>
      <c r="R474" s="19" t="n">
        <v>46197.25</v>
      </c>
      <c r="S474" s="20" t="n">
        <f aca="false">ROUND((Q474-P474)*24,4)</f>
        <v>6.4</v>
      </c>
      <c r="T474" s="18" t="str">
        <f aca="false">TEXT(P474,"YYYY-MM")</f>
        <v>2026-06</v>
      </c>
      <c r="U474" s="18" t="n">
        <f aca="false">RANK(S474,$S$2:$S$670)+COUNTIF($S$2:S474,S474)-1</f>
        <v>204</v>
      </c>
      <c r="V474" s="20" t="n">
        <f aca="false">ROUND((R474-Q474)*24,4)</f>
        <v>18.6</v>
      </c>
      <c r="W474" s="20" t="n">
        <f aca="false">ROUND((R474-P474)*24,4)</f>
        <v>25</v>
      </c>
      <c r="X474" s="18" t="str">
        <f aca="false">TEXT(P474,"dddd")</f>
        <v>Tuesday</v>
      </c>
      <c r="Y474" s="18" t="n">
        <f aca="false">HOUR(Q474)</f>
        <v>11</v>
      </c>
    </row>
    <row r="475" customFormat="false" ht="15" hidden="false" customHeight="false" outlineLevel="0" collapsed="false">
      <c r="A475" s="18" t="s">
        <v>32</v>
      </c>
      <c r="B475" s="18" t="s">
        <v>188</v>
      </c>
      <c r="C475" s="18" t="s">
        <v>189</v>
      </c>
      <c r="D475" s="18" t="s">
        <v>46</v>
      </c>
      <c r="E475" s="18" t="s">
        <v>168</v>
      </c>
      <c r="F475" s="18" t="n">
        <v>2607</v>
      </c>
      <c r="G475" s="18" t="s">
        <v>127</v>
      </c>
      <c r="H475" s="18" t="s">
        <v>289</v>
      </c>
      <c r="I475" s="18" t="s">
        <v>23</v>
      </c>
      <c r="J475" s="18" t="s">
        <v>13</v>
      </c>
      <c r="K475" s="18" t="s">
        <v>12</v>
      </c>
      <c r="L475" s="18" t="s">
        <v>125</v>
      </c>
      <c r="M475" s="18" t="s">
        <v>125</v>
      </c>
      <c r="N475" s="18" t="s">
        <v>125</v>
      </c>
      <c r="O475" s="18"/>
      <c r="P475" s="19" t="n">
        <v>46196.2083333333</v>
      </c>
      <c r="Q475" s="19" t="n">
        <v>46196.25</v>
      </c>
      <c r="R475" s="19" t="n">
        <v>46196.6666666667</v>
      </c>
      <c r="S475" s="20" t="n">
        <f aca="false">ROUND((Q475-P475)*24,4)</f>
        <v>1</v>
      </c>
      <c r="T475" s="18" t="str">
        <f aca="false">TEXT(P475,"YYYY-MM")</f>
        <v>2026-06</v>
      </c>
      <c r="U475" s="18" t="n">
        <f aca="false">RANK(S475,$S$2:$S$670)+COUNTIF($S$2:S475,S475)-1</f>
        <v>513</v>
      </c>
      <c r="V475" s="20" t="n">
        <f aca="false">ROUND((R475-Q475)*24,4)</f>
        <v>10</v>
      </c>
      <c r="W475" s="20" t="n">
        <f aca="false">ROUND((R475-P475)*24,4)</f>
        <v>11</v>
      </c>
      <c r="X475" s="18" t="str">
        <f aca="false">TEXT(P475,"dddd")</f>
        <v>Tuesday</v>
      </c>
      <c r="Y475" s="18" t="n">
        <f aca="false">HOUR(Q475)</f>
        <v>6</v>
      </c>
    </row>
    <row r="476" customFormat="false" ht="15" hidden="false" customHeight="false" outlineLevel="0" collapsed="false">
      <c r="A476" s="18" t="s">
        <v>32</v>
      </c>
      <c r="B476" s="18" t="s">
        <v>188</v>
      </c>
      <c r="C476" s="18" t="s">
        <v>189</v>
      </c>
      <c r="D476" s="18" t="s">
        <v>46</v>
      </c>
      <c r="E476" s="18" t="s">
        <v>163</v>
      </c>
      <c r="F476" s="18" t="n">
        <v>2607</v>
      </c>
      <c r="G476" s="18" t="s">
        <v>125</v>
      </c>
      <c r="H476" s="18" t="s">
        <v>290</v>
      </c>
      <c r="I476" s="18" t="s">
        <v>17</v>
      </c>
      <c r="J476" s="18" t="s">
        <v>12</v>
      </c>
      <c r="K476" s="18" t="s">
        <v>13</v>
      </c>
      <c r="L476" s="18" t="s">
        <v>125</v>
      </c>
      <c r="M476" s="18" t="s">
        <v>125</v>
      </c>
      <c r="N476" s="18" t="s">
        <v>125</v>
      </c>
      <c r="O476" s="18"/>
      <c r="P476" s="19" t="n">
        <v>46196.75</v>
      </c>
      <c r="Q476" s="19" t="n">
        <v>46197.0416666667</v>
      </c>
      <c r="R476" s="19" t="n">
        <v>46198.8333333333</v>
      </c>
      <c r="S476" s="20" t="n">
        <f aca="false">ROUND((Q476-P476)*24,4)</f>
        <v>7</v>
      </c>
      <c r="T476" s="18" t="str">
        <f aca="false">TEXT(P476,"YYYY-MM")</f>
        <v>2026-06</v>
      </c>
      <c r="U476" s="18" t="n">
        <f aca="false">RANK(S476,$S$2:$S$670)+COUNTIF($S$2:S476,S476)-1</f>
        <v>193</v>
      </c>
      <c r="V476" s="20" t="n">
        <f aca="false">ROUND((R476-Q476)*24,4)</f>
        <v>43</v>
      </c>
      <c r="W476" s="20" t="n">
        <f aca="false">ROUND((R476-P476)*24,4)</f>
        <v>50</v>
      </c>
      <c r="X476" s="18" t="str">
        <f aca="false">TEXT(P476,"dddd")</f>
        <v>Tuesday</v>
      </c>
      <c r="Y476" s="18" t="n">
        <f aca="false">HOUR(Q476)</f>
        <v>1</v>
      </c>
    </row>
    <row r="477" customFormat="false" ht="15" hidden="false" customHeight="false" outlineLevel="0" collapsed="false">
      <c r="A477" s="18" t="s">
        <v>31</v>
      </c>
      <c r="B477" s="18" t="s">
        <v>291</v>
      </c>
      <c r="C477" s="18" t="s">
        <v>292</v>
      </c>
      <c r="D477" s="18" t="s">
        <v>53</v>
      </c>
      <c r="E477" s="18" t="s">
        <v>198</v>
      </c>
      <c r="F477" s="18" t="n">
        <v>2605</v>
      </c>
      <c r="G477" s="18" t="s">
        <v>127</v>
      </c>
      <c r="H477" s="18" t="s">
        <v>304</v>
      </c>
      <c r="I477" s="18" t="s">
        <v>24</v>
      </c>
      <c r="J477" s="18" t="s">
        <v>13</v>
      </c>
      <c r="K477" s="18" t="s">
        <v>12</v>
      </c>
      <c r="L477" s="18" t="s">
        <v>144</v>
      </c>
      <c r="M477" s="18" t="s">
        <v>125</v>
      </c>
      <c r="N477" s="18" t="s">
        <v>125</v>
      </c>
      <c r="O477" s="18" t="s">
        <v>308</v>
      </c>
      <c r="P477" s="19" t="n">
        <v>46198.9208333333</v>
      </c>
      <c r="Q477" s="19" t="n">
        <v>46198.9215277778</v>
      </c>
      <c r="R477" s="19" t="n">
        <v>46198.9222222222</v>
      </c>
      <c r="S477" s="20" t="n">
        <f aca="false">ROUND((Q477-P477)*24,4)</f>
        <v>0.0167</v>
      </c>
      <c r="T477" s="18" t="str">
        <f aca="false">TEXT(P477,"YYYY-MM")</f>
        <v>2026-06</v>
      </c>
      <c r="U477" s="18" t="n">
        <f aca="false">RANK(S477,$S$2:$S$670)+COUNTIF($S$2:S477,S477)-1</f>
        <v>653</v>
      </c>
      <c r="V477" s="20" t="n">
        <f aca="false">ROUND((R477-Q477)*24,4)</f>
        <v>0.0167</v>
      </c>
      <c r="W477" s="20" t="n">
        <f aca="false">ROUND((R477-P477)*24,4)</f>
        <v>0.0333</v>
      </c>
      <c r="X477" s="18" t="str">
        <f aca="false">TEXT(P477,"dddd")</f>
        <v>Thursday</v>
      </c>
      <c r="Y477" s="18" t="n">
        <f aca="false">HOUR(Q477)</f>
        <v>22</v>
      </c>
    </row>
    <row r="478" customFormat="false" ht="15" hidden="false" customHeight="false" outlineLevel="0" collapsed="false">
      <c r="A478" s="18" t="s">
        <v>31</v>
      </c>
      <c r="B478" s="18" t="s">
        <v>291</v>
      </c>
      <c r="C478" s="18" t="s">
        <v>292</v>
      </c>
      <c r="D478" s="18" t="s">
        <v>53</v>
      </c>
      <c r="E478" s="18" t="s">
        <v>168</v>
      </c>
      <c r="F478" s="18" t="n">
        <v>2605</v>
      </c>
      <c r="G478" s="18" t="s">
        <v>125</v>
      </c>
      <c r="H478" s="18" t="s">
        <v>305</v>
      </c>
      <c r="I478" s="18" t="s">
        <v>18</v>
      </c>
      <c r="J478" s="18" t="s">
        <v>12</v>
      </c>
      <c r="K478" s="18" t="s">
        <v>13</v>
      </c>
      <c r="L478" s="18" t="s">
        <v>144</v>
      </c>
      <c r="M478" s="18" t="s">
        <v>125</v>
      </c>
      <c r="N478" s="18" t="s">
        <v>125</v>
      </c>
      <c r="O478" s="18" t="s">
        <v>308</v>
      </c>
      <c r="P478" s="19" t="n">
        <v>46198.9229166667</v>
      </c>
      <c r="Q478" s="19" t="n">
        <v>46198.9236111111</v>
      </c>
      <c r="R478" s="19" t="n">
        <v>46198.9243055556</v>
      </c>
      <c r="S478" s="20" t="n">
        <f aca="false">ROUND((Q478-P478)*24,4)</f>
        <v>0.0167</v>
      </c>
      <c r="T478" s="18" t="str">
        <f aca="false">TEXT(P478,"YYYY-MM")</f>
        <v>2026-06</v>
      </c>
      <c r="U478" s="18" t="n">
        <f aca="false">RANK(S478,$S$2:$S$670)+COUNTIF($S$2:S478,S478)-1</f>
        <v>654</v>
      </c>
      <c r="V478" s="20" t="n">
        <f aca="false">ROUND((R478-Q478)*24,4)</f>
        <v>0.0167</v>
      </c>
      <c r="W478" s="20" t="n">
        <f aca="false">ROUND((R478-P478)*24,4)</f>
        <v>0.0333</v>
      </c>
      <c r="X478" s="18" t="str">
        <f aca="false">TEXT(P478,"dddd")</f>
        <v>Thursday</v>
      </c>
      <c r="Y478" s="18" t="n">
        <f aca="false">HOUR(Q478)</f>
        <v>22</v>
      </c>
    </row>
    <row r="479" customFormat="false" ht="15" hidden="false" customHeight="false" outlineLevel="0" collapsed="false">
      <c r="A479" s="18" t="s">
        <v>32</v>
      </c>
      <c r="B479" s="18" t="s">
        <v>188</v>
      </c>
      <c r="C479" s="18" t="s">
        <v>189</v>
      </c>
      <c r="D479" s="18" t="s">
        <v>46</v>
      </c>
      <c r="E479" s="18" t="s">
        <v>176</v>
      </c>
      <c r="F479" s="18" t="n">
        <v>2607</v>
      </c>
      <c r="G479" s="18" t="s">
        <v>125</v>
      </c>
      <c r="H479" s="18" t="s">
        <v>290</v>
      </c>
      <c r="I479" s="18" t="s">
        <v>23</v>
      </c>
      <c r="J479" s="18" t="s">
        <v>13</v>
      </c>
      <c r="K479" s="18" t="s">
        <v>186</v>
      </c>
      <c r="L479" s="18" t="s">
        <v>125</v>
      </c>
      <c r="M479" s="18" t="s">
        <v>125</v>
      </c>
      <c r="N479" s="18" t="s">
        <v>125</v>
      </c>
      <c r="O479" s="18"/>
      <c r="P479" s="19" t="n">
        <v>46199.0416666667</v>
      </c>
      <c r="Q479" s="19" t="n">
        <v>46199.0625</v>
      </c>
      <c r="R479" s="19" t="n">
        <v>46199.4583333333</v>
      </c>
      <c r="S479" s="20" t="n">
        <f aca="false">ROUND((Q479-P479)*24,4)</f>
        <v>0.5</v>
      </c>
      <c r="T479" s="18" t="str">
        <f aca="false">TEXT(P479,"YYYY-MM")</f>
        <v>2026-06</v>
      </c>
      <c r="U479" s="18" t="n">
        <f aca="false">RANK(S479,$S$2:$S$670)+COUNTIF($S$2:S479,S479)-1</f>
        <v>614</v>
      </c>
      <c r="V479" s="20" t="n">
        <f aca="false">ROUND((R479-Q479)*24,4)</f>
        <v>9.5</v>
      </c>
      <c r="W479" s="20" t="n">
        <f aca="false">ROUND((R479-P479)*24,4)</f>
        <v>10</v>
      </c>
      <c r="X479" s="18" t="str">
        <f aca="false">TEXT(P479,"dddd")</f>
        <v>Friday</v>
      </c>
      <c r="Y479" s="18" t="n">
        <f aca="false">HOUR(Q479)</f>
        <v>1</v>
      </c>
    </row>
    <row r="480" customFormat="false" ht="15" hidden="false" customHeight="false" outlineLevel="0" collapsed="false">
      <c r="A480" s="18" t="s">
        <v>37</v>
      </c>
      <c r="B480" s="18" t="s">
        <v>196</v>
      </c>
      <c r="C480" s="18" t="s">
        <v>197</v>
      </c>
      <c r="D480" s="18" t="s">
        <v>46</v>
      </c>
      <c r="E480" s="18" t="s">
        <v>163</v>
      </c>
      <c r="F480" s="18" t="n">
        <v>2606</v>
      </c>
      <c r="G480" s="18" t="s">
        <v>127</v>
      </c>
      <c r="H480" s="18" t="s">
        <v>269</v>
      </c>
      <c r="I480" s="18" t="s">
        <v>20</v>
      </c>
      <c r="J480" s="18" t="s">
        <v>13</v>
      </c>
      <c r="K480" s="18" t="s">
        <v>12</v>
      </c>
      <c r="L480" s="18" t="s">
        <v>125</v>
      </c>
      <c r="M480" s="18" t="s">
        <v>125</v>
      </c>
      <c r="N480" s="18" t="s">
        <v>125</v>
      </c>
      <c r="O480" s="18"/>
      <c r="P480" s="19" t="n">
        <v>46201.9583333333</v>
      </c>
      <c r="Q480" s="19" t="n">
        <v>46202.0166666667</v>
      </c>
      <c r="R480" s="19" t="n">
        <v>46202.5208333333</v>
      </c>
      <c r="S480" s="20" t="n">
        <f aca="false">ROUND((Q480-P480)*24,4)</f>
        <v>1.4</v>
      </c>
      <c r="T480" s="18" t="str">
        <f aca="false">TEXT(P480,"YYYY-MM")</f>
        <v>2026-06</v>
      </c>
      <c r="U480" s="18" t="n">
        <f aca="false">RANK(S480,$S$2:$S$670)+COUNTIF($S$2:S480,S480)-1</f>
        <v>363</v>
      </c>
      <c r="V480" s="20" t="n">
        <f aca="false">ROUND((R480-Q480)*24,4)</f>
        <v>12.1</v>
      </c>
      <c r="W480" s="20" t="n">
        <f aca="false">ROUND((R480-P480)*24,4)</f>
        <v>13.5</v>
      </c>
      <c r="X480" s="18" t="str">
        <f aca="false">TEXT(P480,"dddd")</f>
        <v>Sunday</v>
      </c>
      <c r="Y480" s="18" t="n">
        <f aca="false">HOUR(Q480)</f>
        <v>0</v>
      </c>
    </row>
    <row r="481" customFormat="false" ht="15" hidden="false" customHeight="false" outlineLevel="0" collapsed="false">
      <c r="A481" s="18" t="s">
        <v>35</v>
      </c>
      <c r="B481" s="18" t="s">
        <v>228</v>
      </c>
      <c r="C481" s="18" t="s">
        <v>229</v>
      </c>
      <c r="D481" s="18" t="s">
        <v>52</v>
      </c>
      <c r="E481" s="18" t="s">
        <v>198</v>
      </c>
      <c r="F481" s="18" t="n">
        <v>2606</v>
      </c>
      <c r="G481" s="18" t="s">
        <v>127</v>
      </c>
      <c r="H481" s="18" t="s">
        <v>269</v>
      </c>
      <c r="I481" s="18" t="s">
        <v>28</v>
      </c>
      <c r="J481" s="18" t="s">
        <v>13</v>
      </c>
      <c r="K481" s="18" t="s">
        <v>12</v>
      </c>
      <c r="L481" s="18" t="s">
        <v>125</v>
      </c>
      <c r="M481" s="18" t="s">
        <v>125</v>
      </c>
      <c r="N481" s="18" t="s">
        <v>125</v>
      </c>
      <c r="O481" s="18"/>
      <c r="P481" s="19" t="n">
        <v>46202.0833333333</v>
      </c>
      <c r="Q481" s="19" t="n">
        <v>46202.125</v>
      </c>
      <c r="R481" s="19" t="n">
        <v>46202.5833333333</v>
      </c>
      <c r="S481" s="20" t="n">
        <f aca="false">ROUND((Q481-P481)*24,4)</f>
        <v>1</v>
      </c>
      <c r="T481" s="18" t="str">
        <f aca="false">TEXT(P481,"YYYY-MM")</f>
        <v>2026-06</v>
      </c>
      <c r="U481" s="18" t="n">
        <f aca="false">RANK(S481,$S$2:$S$670)+COUNTIF($S$2:S481,S481)-1</f>
        <v>514</v>
      </c>
      <c r="V481" s="20" t="n">
        <f aca="false">ROUND((R481-Q481)*24,4)</f>
        <v>11</v>
      </c>
      <c r="W481" s="20" t="n">
        <f aca="false">ROUND((R481-P481)*24,4)</f>
        <v>12</v>
      </c>
      <c r="X481" s="18" t="str">
        <f aca="false">TEXT(P481,"dddd")</f>
        <v>Monday</v>
      </c>
      <c r="Y481" s="18" t="n">
        <f aca="false">HOUR(Q481)</f>
        <v>3</v>
      </c>
    </row>
    <row r="482" customFormat="false" ht="15" hidden="false" customHeight="false" outlineLevel="0" collapsed="false">
      <c r="A482" s="18" t="s">
        <v>37</v>
      </c>
      <c r="B482" s="18" t="s">
        <v>196</v>
      </c>
      <c r="C482" s="18" t="s">
        <v>197</v>
      </c>
      <c r="D482" s="18" t="s">
        <v>46</v>
      </c>
      <c r="E482" s="18" t="s">
        <v>176</v>
      </c>
      <c r="F482" s="18" t="n">
        <v>2606</v>
      </c>
      <c r="G482" s="18" t="s">
        <v>125</v>
      </c>
      <c r="H482" s="18" t="s">
        <v>270</v>
      </c>
      <c r="I482" s="18" t="s">
        <v>19</v>
      </c>
      <c r="J482" s="18" t="s">
        <v>12</v>
      </c>
      <c r="K482" s="18" t="s">
        <v>13</v>
      </c>
      <c r="L482" s="18" t="s">
        <v>125</v>
      </c>
      <c r="M482" s="18" t="s">
        <v>125</v>
      </c>
      <c r="N482" s="18" t="s">
        <v>125</v>
      </c>
      <c r="O482" s="18"/>
      <c r="P482" s="19" t="n">
        <v>46202.5416666667</v>
      </c>
      <c r="Q482" s="19" t="n">
        <v>46202.875</v>
      </c>
      <c r="R482" s="19" t="n">
        <v>46204.7458333333</v>
      </c>
      <c r="S482" s="20" t="n">
        <f aca="false">ROUND((Q482-P482)*24,4)</f>
        <v>8</v>
      </c>
      <c r="T482" s="18" t="str">
        <f aca="false">TEXT(P482,"YYYY-MM")</f>
        <v>2026-06</v>
      </c>
      <c r="U482" s="18" t="n">
        <f aca="false">RANK(S482,$S$2:$S$670)+COUNTIF($S$2:S482,S482)-1</f>
        <v>176</v>
      </c>
      <c r="V482" s="20" t="n">
        <f aca="false">ROUND((R482-Q482)*24,4)</f>
        <v>44.9</v>
      </c>
      <c r="W482" s="20" t="n">
        <f aca="false">ROUND((R482-P482)*24,4)</f>
        <v>52.9</v>
      </c>
      <c r="X482" s="18" t="str">
        <f aca="false">TEXT(P482,"dddd")</f>
        <v>Monday</v>
      </c>
      <c r="Y482" s="18" t="n">
        <f aca="false">HOUR(Q482)</f>
        <v>21</v>
      </c>
    </row>
    <row r="483" customFormat="false" ht="15" hidden="false" customHeight="false" outlineLevel="0" collapsed="false">
      <c r="A483" s="18" t="s">
        <v>35</v>
      </c>
      <c r="B483" s="18" t="s">
        <v>228</v>
      </c>
      <c r="C483" s="18" t="s">
        <v>229</v>
      </c>
      <c r="D483" s="18" t="s">
        <v>52</v>
      </c>
      <c r="E483" s="18" t="s">
        <v>168</v>
      </c>
      <c r="F483" s="18" t="n">
        <v>2606</v>
      </c>
      <c r="G483" s="18" t="s">
        <v>125</v>
      </c>
      <c r="H483" s="18" t="s">
        <v>270</v>
      </c>
      <c r="I483" s="18" t="s">
        <v>19</v>
      </c>
      <c r="J483" s="18" t="s">
        <v>12</v>
      </c>
      <c r="K483" s="18" t="s">
        <v>13</v>
      </c>
      <c r="L483" s="18" t="s">
        <v>125</v>
      </c>
      <c r="M483" s="18" t="s">
        <v>125</v>
      </c>
      <c r="N483" s="18" t="s">
        <v>125</v>
      </c>
      <c r="O483" s="18"/>
      <c r="P483" s="19" t="n">
        <v>46202.6666666667</v>
      </c>
      <c r="Q483" s="19" t="n">
        <v>46202.7916666667</v>
      </c>
      <c r="R483" s="19" t="n">
        <v>46204.25</v>
      </c>
      <c r="S483" s="20" t="n">
        <f aca="false">ROUND((Q483-P483)*24,4)</f>
        <v>3</v>
      </c>
      <c r="T483" s="18" t="str">
        <f aca="false">TEXT(P483,"YYYY-MM")</f>
        <v>2026-06</v>
      </c>
      <c r="U483" s="18" t="n">
        <f aca="false">RANK(S483,$S$2:$S$670)+COUNTIF($S$2:S483,S483)-1</f>
        <v>289</v>
      </c>
      <c r="V483" s="20" t="n">
        <f aca="false">ROUND((R483-Q483)*24,4)</f>
        <v>35</v>
      </c>
      <c r="W483" s="20" t="n">
        <f aca="false">ROUND((R483-P483)*24,4)</f>
        <v>38</v>
      </c>
      <c r="X483" s="18" t="str">
        <f aca="false">TEXT(P483,"dddd")</f>
        <v>Monday</v>
      </c>
      <c r="Y483" s="18" t="n">
        <f aca="false">HOUR(Q483)</f>
        <v>19</v>
      </c>
    </row>
    <row r="484" customFormat="false" ht="15" hidden="false" customHeight="false" outlineLevel="0" collapsed="false">
      <c r="A484" s="18" t="s">
        <v>31</v>
      </c>
      <c r="B484" s="18" t="s">
        <v>312</v>
      </c>
      <c r="C484" s="18" t="s">
        <v>313</v>
      </c>
      <c r="D484" s="18" t="s">
        <v>47</v>
      </c>
      <c r="E484" s="18" t="s">
        <v>198</v>
      </c>
      <c r="F484" s="18" t="n">
        <v>2608</v>
      </c>
      <c r="G484" s="18" t="s">
        <v>127</v>
      </c>
      <c r="H484" s="18" t="s">
        <v>301</v>
      </c>
      <c r="I484" s="18" t="s">
        <v>24</v>
      </c>
      <c r="J484" s="18" t="s">
        <v>13</v>
      </c>
      <c r="K484" s="18" t="s">
        <v>12</v>
      </c>
      <c r="L484" s="18" t="s">
        <v>144</v>
      </c>
      <c r="M484" s="18" t="s">
        <v>125</v>
      </c>
      <c r="N484" s="18" t="s">
        <v>125</v>
      </c>
      <c r="O484" s="18" t="s">
        <v>314</v>
      </c>
      <c r="P484" s="19" t="n">
        <v>46203.5006944445</v>
      </c>
      <c r="Q484" s="19" t="n">
        <v>46203.5013888889</v>
      </c>
      <c r="R484" s="19" t="n">
        <v>46203.5020833333</v>
      </c>
      <c r="S484" s="20" t="n">
        <f aca="false">ROUND((Q484-P484)*24,4)</f>
        <v>0.0167</v>
      </c>
      <c r="T484" s="18" t="str">
        <f aca="false">TEXT(P484,"YYYY-MM")</f>
        <v>2026-06</v>
      </c>
      <c r="U484" s="18" t="n">
        <f aca="false">RANK(S484,$S$2:$S$670)+COUNTIF($S$2:S484,S484)-1</f>
        <v>655</v>
      </c>
      <c r="V484" s="20" t="n">
        <f aca="false">ROUND((R484-Q484)*24,4)</f>
        <v>0.0167</v>
      </c>
      <c r="W484" s="20" t="n">
        <f aca="false">ROUND((R484-P484)*24,4)</f>
        <v>0.0333</v>
      </c>
      <c r="X484" s="18" t="str">
        <f aca="false">TEXT(P484,"dddd")</f>
        <v>Tuesday</v>
      </c>
      <c r="Y484" s="18" t="n">
        <f aca="false">HOUR(Q484)</f>
        <v>12</v>
      </c>
    </row>
    <row r="485" customFormat="false" ht="15" hidden="false" customHeight="false" outlineLevel="0" collapsed="false">
      <c r="A485" s="18" t="s">
        <v>31</v>
      </c>
      <c r="B485" s="18" t="s">
        <v>312</v>
      </c>
      <c r="C485" s="18" t="s">
        <v>313</v>
      </c>
      <c r="D485" s="18" t="s">
        <v>47</v>
      </c>
      <c r="E485" s="18" t="s">
        <v>168</v>
      </c>
      <c r="F485" s="18" t="n">
        <v>2608</v>
      </c>
      <c r="G485" s="18" t="s">
        <v>125</v>
      </c>
      <c r="H485" s="18" t="s">
        <v>302</v>
      </c>
      <c r="I485" s="18" t="s">
        <v>18</v>
      </c>
      <c r="J485" s="18" t="s">
        <v>12</v>
      </c>
      <c r="K485" s="18" t="s">
        <v>13</v>
      </c>
      <c r="L485" s="18" t="s">
        <v>144</v>
      </c>
      <c r="M485" s="18" t="s">
        <v>125</v>
      </c>
      <c r="N485" s="18" t="s">
        <v>125</v>
      </c>
      <c r="O485" s="18" t="s">
        <v>314</v>
      </c>
      <c r="P485" s="19" t="n">
        <v>46203.5027777778</v>
      </c>
      <c r="Q485" s="19" t="n">
        <v>46203.5034722222</v>
      </c>
      <c r="R485" s="19" t="n">
        <v>46203.5041666667</v>
      </c>
      <c r="S485" s="20" t="n">
        <f aca="false">ROUND((Q485-P485)*24,4)</f>
        <v>0.0167</v>
      </c>
      <c r="T485" s="18" t="str">
        <f aca="false">TEXT(P485,"YYYY-MM")</f>
        <v>2026-06</v>
      </c>
      <c r="U485" s="18" t="n">
        <f aca="false">RANK(S485,$S$2:$S$670)+COUNTIF($S$2:S485,S485)-1</f>
        <v>656</v>
      </c>
      <c r="V485" s="20" t="n">
        <f aca="false">ROUND((R485-Q485)*24,4)</f>
        <v>0.0167</v>
      </c>
      <c r="W485" s="20" t="n">
        <f aca="false">ROUND((R485-P485)*24,4)</f>
        <v>0.0333</v>
      </c>
      <c r="X485" s="18" t="str">
        <f aca="false">TEXT(P485,"dddd")</f>
        <v>Tuesday</v>
      </c>
      <c r="Y485" s="18" t="n">
        <f aca="false">HOUR(Q485)</f>
        <v>12</v>
      </c>
    </row>
    <row r="486" customFormat="false" ht="15" hidden="false" customHeight="false" outlineLevel="0" collapsed="false">
      <c r="A486" s="18" t="s">
        <v>31</v>
      </c>
      <c r="B486" s="18" t="s">
        <v>291</v>
      </c>
      <c r="C486" s="18" t="s">
        <v>292</v>
      </c>
      <c r="D486" s="18" t="s">
        <v>53</v>
      </c>
      <c r="E486" s="18" t="s">
        <v>163</v>
      </c>
      <c r="F486" s="18" t="n">
        <v>2605</v>
      </c>
      <c r="G486" s="18" t="s">
        <v>125</v>
      </c>
      <c r="H486" s="18" t="s">
        <v>305</v>
      </c>
      <c r="I486" s="18" t="s">
        <v>24</v>
      </c>
      <c r="J486" s="18" t="s">
        <v>13</v>
      </c>
      <c r="K486" s="18" t="s">
        <v>165</v>
      </c>
      <c r="L486" s="18" t="s">
        <v>125</v>
      </c>
      <c r="M486" s="18" t="s">
        <v>125</v>
      </c>
      <c r="N486" s="18" t="s">
        <v>125</v>
      </c>
      <c r="O486" s="18" t="s">
        <v>308</v>
      </c>
      <c r="P486" s="19" t="n">
        <v>46203.6805555556</v>
      </c>
      <c r="Q486" s="19" t="n">
        <v>46203.7152777778</v>
      </c>
      <c r="R486" s="19" t="n">
        <v>46204.9375</v>
      </c>
      <c r="S486" s="20" t="n">
        <f aca="false">ROUND((Q486-P486)*24,4)</f>
        <v>0.8333</v>
      </c>
      <c r="T486" s="18" t="str">
        <f aca="false">TEXT(P486,"YYYY-MM")</f>
        <v>2026-06</v>
      </c>
      <c r="U486" s="18" t="n">
        <f aca="false">RANK(S486,$S$2:$S$670)+COUNTIF($S$2:S486,S486)-1</f>
        <v>585</v>
      </c>
      <c r="V486" s="20" t="n">
        <f aca="false">ROUND((R486-Q486)*24,4)</f>
        <v>29.3333</v>
      </c>
      <c r="W486" s="20" t="n">
        <f aca="false">ROUND((R486-P486)*24,4)</f>
        <v>30.1667</v>
      </c>
      <c r="X486" s="18" t="str">
        <f aca="false">TEXT(P486,"dddd")</f>
        <v>Tuesday</v>
      </c>
      <c r="Y486" s="18" t="n">
        <f aca="false">HOUR(Q486)</f>
        <v>17</v>
      </c>
    </row>
    <row r="487" customFormat="false" ht="15" hidden="false" customHeight="false" outlineLevel="0" collapsed="false">
      <c r="A487" s="18" t="s">
        <v>39</v>
      </c>
      <c r="B487" s="18" t="s">
        <v>238</v>
      </c>
      <c r="C487" s="18" t="s">
        <v>239</v>
      </c>
      <c r="D487" s="18" t="s">
        <v>50</v>
      </c>
      <c r="E487" s="18" t="s">
        <v>176</v>
      </c>
      <c r="F487" s="18" t="n">
        <v>2609</v>
      </c>
      <c r="G487" s="18" t="s">
        <v>125</v>
      </c>
      <c r="H487" s="18" t="s">
        <v>319</v>
      </c>
      <c r="I487" s="18" t="s">
        <v>21</v>
      </c>
      <c r="J487" s="18" t="s">
        <v>13</v>
      </c>
      <c r="K487" s="18" t="s">
        <v>216</v>
      </c>
      <c r="L487" s="18" t="s">
        <v>125</v>
      </c>
      <c r="M487" s="18" t="s">
        <v>125</v>
      </c>
      <c r="N487" s="18" t="s">
        <v>125</v>
      </c>
      <c r="O487" s="18"/>
      <c r="P487" s="19" t="n">
        <v>46204</v>
      </c>
      <c r="Q487" s="19" t="n">
        <v>46204.0916666667</v>
      </c>
      <c r="R487" s="19" t="n">
        <v>46205.1166666667</v>
      </c>
      <c r="S487" s="20" t="n">
        <f aca="false">ROUND((Q487-P487)*24,4)</f>
        <v>2.2</v>
      </c>
      <c r="T487" s="18" t="str">
        <f aca="false">TEXT(P487,"YYYY-MM")</f>
        <v>2026-07</v>
      </c>
      <c r="U487" s="18" t="n">
        <f aca="false">RANK(S487,$S$2:$S$670)+COUNTIF($S$2:S487,S487)-1</f>
        <v>315</v>
      </c>
      <c r="V487" s="20" t="n">
        <f aca="false">ROUND((R487-Q487)*24,4)</f>
        <v>24.6</v>
      </c>
      <c r="W487" s="20" t="n">
        <f aca="false">ROUND((R487-P487)*24,4)</f>
        <v>26.8</v>
      </c>
      <c r="X487" s="18" t="str">
        <f aca="false">TEXT(P487,"dddd")</f>
        <v>Wednesday</v>
      </c>
      <c r="Y487" s="18" t="n">
        <f aca="false">HOUR(Q487)</f>
        <v>2</v>
      </c>
    </row>
    <row r="488" customFormat="false" ht="15" hidden="false" customHeight="false" outlineLevel="0" collapsed="false">
      <c r="A488" s="18" t="s">
        <v>32</v>
      </c>
      <c r="B488" s="18" t="s">
        <v>225</v>
      </c>
      <c r="C488" s="18" t="s">
        <v>226</v>
      </c>
      <c r="D488" s="18" t="s">
        <v>47</v>
      </c>
      <c r="E488" s="18" t="s">
        <v>168</v>
      </c>
      <c r="F488" s="18" t="n">
        <v>2608</v>
      </c>
      <c r="G488" s="18" t="s">
        <v>127</v>
      </c>
      <c r="H488" s="18" t="s">
        <v>301</v>
      </c>
      <c r="I488" s="18" t="s">
        <v>23</v>
      </c>
      <c r="J488" s="18" t="s">
        <v>13</v>
      </c>
      <c r="K488" s="18" t="s">
        <v>12</v>
      </c>
      <c r="L488" s="18" t="s">
        <v>125</v>
      </c>
      <c r="M488" s="18" t="s">
        <v>125</v>
      </c>
      <c r="N488" s="18" t="s">
        <v>125</v>
      </c>
      <c r="O488" s="18"/>
      <c r="P488" s="19" t="n">
        <v>46204.125</v>
      </c>
      <c r="Q488" s="19" t="n">
        <v>46204.1666666667</v>
      </c>
      <c r="R488" s="19" t="n">
        <v>46204.4166666667</v>
      </c>
      <c r="S488" s="20" t="n">
        <f aca="false">ROUND((Q488-P488)*24,4)</f>
        <v>1</v>
      </c>
      <c r="T488" s="18" t="str">
        <f aca="false">TEXT(P488,"YYYY-MM")</f>
        <v>2026-07</v>
      </c>
      <c r="U488" s="18" t="n">
        <f aca="false">RANK(S488,$S$2:$S$670)+COUNTIF($S$2:S488,S488)-1</f>
        <v>515</v>
      </c>
      <c r="V488" s="20" t="n">
        <f aca="false">ROUND((R488-Q488)*24,4)</f>
        <v>6</v>
      </c>
      <c r="W488" s="20" t="n">
        <f aca="false">ROUND((R488-P488)*24,4)</f>
        <v>7</v>
      </c>
      <c r="X488" s="18" t="str">
        <f aca="false">TEXT(P488,"dddd")</f>
        <v>Wednesday</v>
      </c>
      <c r="Y488" s="18" t="n">
        <f aca="false">HOUR(Q488)</f>
        <v>4</v>
      </c>
    </row>
    <row r="489" customFormat="false" ht="15" hidden="false" customHeight="false" outlineLevel="0" collapsed="false">
      <c r="A489" s="18" t="s">
        <v>36</v>
      </c>
      <c r="B489" s="18" t="s">
        <v>326</v>
      </c>
      <c r="C489" s="18" t="s">
        <v>327</v>
      </c>
      <c r="D489" s="18" t="s">
        <v>47</v>
      </c>
      <c r="E489" s="18" t="s">
        <v>168</v>
      </c>
      <c r="F489" s="18" t="n">
        <v>2601</v>
      </c>
      <c r="G489" s="18" t="s">
        <v>127</v>
      </c>
      <c r="H489" s="18" t="s">
        <v>227</v>
      </c>
      <c r="I489" s="18" t="s">
        <v>23</v>
      </c>
      <c r="J489" s="18" t="s">
        <v>13</v>
      </c>
      <c r="K489" s="18" t="s">
        <v>12</v>
      </c>
      <c r="L489" s="18" t="s">
        <v>125</v>
      </c>
      <c r="M489" s="18" t="s">
        <v>125</v>
      </c>
      <c r="N489" s="18" t="s">
        <v>125</v>
      </c>
      <c r="O489" s="18"/>
      <c r="P489" s="19" t="n">
        <v>46204.3416666667</v>
      </c>
      <c r="Q489" s="19" t="n">
        <v>46204.4791666667</v>
      </c>
      <c r="R489" s="19" t="n">
        <v>46204.8055555556</v>
      </c>
      <c r="S489" s="20" t="n">
        <f aca="false">ROUND((Q489-P489)*24,4)</f>
        <v>3.3</v>
      </c>
      <c r="T489" s="18" t="str">
        <f aca="false">TEXT(P489,"YYYY-MM")</f>
        <v>2026-07</v>
      </c>
      <c r="U489" s="18" t="n">
        <f aca="false">RANK(S489,$S$2:$S$670)+COUNTIF($S$2:S489,S489)-1</f>
        <v>269</v>
      </c>
      <c r="V489" s="20" t="n">
        <f aca="false">ROUND((R489-Q489)*24,4)</f>
        <v>7.8333</v>
      </c>
      <c r="W489" s="20" t="n">
        <f aca="false">ROUND((R489-P489)*24,4)</f>
        <v>11.1333</v>
      </c>
      <c r="X489" s="18" t="str">
        <f aca="false">TEXT(P489,"dddd")</f>
        <v>Wednesday</v>
      </c>
      <c r="Y489" s="18" t="n">
        <f aca="false">HOUR(Q489)</f>
        <v>11</v>
      </c>
    </row>
    <row r="490" customFormat="false" ht="15" hidden="false" customHeight="false" outlineLevel="0" collapsed="false">
      <c r="A490" s="18" t="s">
        <v>32</v>
      </c>
      <c r="B490" s="18" t="s">
        <v>225</v>
      </c>
      <c r="C490" s="18" t="s">
        <v>226</v>
      </c>
      <c r="D490" s="18" t="s">
        <v>47</v>
      </c>
      <c r="E490" s="18" t="s">
        <v>163</v>
      </c>
      <c r="F490" s="18" t="n">
        <v>2608</v>
      </c>
      <c r="G490" s="18" t="s">
        <v>125</v>
      </c>
      <c r="H490" s="18" t="s">
        <v>302</v>
      </c>
      <c r="I490" s="18" t="s">
        <v>17</v>
      </c>
      <c r="J490" s="18" t="s">
        <v>12</v>
      </c>
      <c r="K490" s="18" t="s">
        <v>13</v>
      </c>
      <c r="L490" s="18" t="s">
        <v>125</v>
      </c>
      <c r="M490" s="18" t="s">
        <v>125</v>
      </c>
      <c r="N490" s="18" t="s">
        <v>125</v>
      </c>
      <c r="O490" s="18"/>
      <c r="P490" s="19" t="n">
        <v>46204.5</v>
      </c>
      <c r="Q490" s="19" t="n">
        <v>46204.9166666667</v>
      </c>
      <c r="R490" s="19" t="n">
        <v>46206.125</v>
      </c>
      <c r="S490" s="20" t="n">
        <f aca="false">ROUND((Q490-P490)*24,4)</f>
        <v>10</v>
      </c>
      <c r="T490" s="18" t="str">
        <f aca="false">TEXT(P490,"YYYY-MM")</f>
        <v>2026-07</v>
      </c>
      <c r="U490" s="18" t="n">
        <f aca="false">RANK(S490,$S$2:$S$670)+COUNTIF($S$2:S490,S490)-1</f>
        <v>145</v>
      </c>
      <c r="V490" s="20" t="n">
        <f aca="false">ROUND((R490-Q490)*24,4)</f>
        <v>29</v>
      </c>
      <c r="W490" s="20" t="n">
        <f aca="false">ROUND((R490-P490)*24,4)</f>
        <v>39</v>
      </c>
      <c r="X490" s="18" t="str">
        <f aca="false">TEXT(P490,"dddd")</f>
        <v>Wednesday</v>
      </c>
      <c r="Y490" s="18" t="n">
        <f aca="false">HOUR(Q490)</f>
        <v>22</v>
      </c>
    </row>
    <row r="491" customFormat="false" ht="15" hidden="false" customHeight="false" outlineLevel="0" collapsed="false">
      <c r="A491" s="18" t="s">
        <v>38</v>
      </c>
      <c r="B491" s="18" t="s">
        <v>178</v>
      </c>
      <c r="C491" s="18" t="s">
        <v>179</v>
      </c>
      <c r="D491" s="18" t="s">
        <v>49</v>
      </c>
      <c r="E491" s="18" t="s">
        <v>163</v>
      </c>
      <c r="F491" s="18" t="n">
        <v>2605</v>
      </c>
      <c r="G491" s="18" t="s">
        <v>127</v>
      </c>
      <c r="H491" s="18" t="s">
        <v>304</v>
      </c>
      <c r="I491" s="18" t="s">
        <v>23</v>
      </c>
      <c r="J491" s="18" t="s">
        <v>13</v>
      </c>
      <c r="K491" s="18" t="s">
        <v>181</v>
      </c>
      <c r="L491" s="18" t="s">
        <v>125</v>
      </c>
      <c r="M491" s="18" t="s">
        <v>125</v>
      </c>
      <c r="N491" s="18" t="s">
        <v>125</v>
      </c>
      <c r="O491" s="18"/>
      <c r="P491" s="19" t="n">
        <v>46204.8333333333</v>
      </c>
      <c r="Q491" s="19" t="n">
        <v>46205.375</v>
      </c>
      <c r="R491" s="19" t="n">
        <v>46206.125</v>
      </c>
      <c r="S491" s="20" t="n">
        <f aca="false">ROUND((Q491-P491)*24,4)</f>
        <v>13</v>
      </c>
      <c r="T491" s="18" t="str">
        <f aca="false">TEXT(P491,"YYYY-MM")</f>
        <v>2026-07</v>
      </c>
      <c r="U491" s="18" t="n">
        <f aca="false">RANK(S491,$S$2:$S$670)+COUNTIF($S$2:S491,S491)-1</f>
        <v>110</v>
      </c>
      <c r="V491" s="20" t="n">
        <f aca="false">ROUND((R491-Q491)*24,4)</f>
        <v>18</v>
      </c>
      <c r="W491" s="20" t="n">
        <f aca="false">ROUND((R491-P491)*24,4)</f>
        <v>31</v>
      </c>
      <c r="X491" s="18" t="str">
        <f aca="false">TEXT(P491,"dddd")</f>
        <v>Wednesday</v>
      </c>
      <c r="Y491" s="18" t="n">
        <f aca="false">HOUR(Q491)</f>
        <v>9</v>
      </c>
    </row>
    <row r="492" customFormat="false" ht="15" hidden="false" customHeight="false" outlineLevel="0" collapsed="false">
      <c r="A492" s="18" t="s">
        <v>36</v>
      </c>
      <c r="B492" s="18" t="s">
        <v>326</v>
      </c>
      <c r="C492" s="18" t="s">
        <v>327</v>
      </c>
      <c r="D492" s="18" t="s">
        <v>47</v>
      </c>
      <c r="E492" s="18" t="s">
        <v>163</v>
      </c>
      <c r="F492" s="18" t="n">
        <v>2601</v>
      </c>
      <c r="G492" s="18" t="s">
        <v>125</v>
      </c>
      <c r="H492" s="18" t="s">
        <v>231</v>
      </c>
      <c r="I492" s="18" t="s">
        <v>17</v>
      </c>
      <c r="J492" s="18" t="s">
        <v>12</v>
      </c>
      <c r="K492" s="18" t="s">
        <v>13</v>
      </c>
      <c r="L492" s="18" t="s">
        <v>125</v>
      </c>
      <c r="M492" s="18" t="s">
        <v>125</v>
      </c>
      <c r="N492" s="18" t="s">
        <v>125</v>
      </c>
      <c r="O492" s="18"/>
      <c r="P492" s="19" t="n">
        <v>46204.875</v>
      </c>
      <c r="Q492" s="19" t="n">
        <v>46205.2916666667</v>
      </c>
      <c r="R492" s="19" t="n">
        <v>46206.6666666667</v>
      </c>
      <c r="S492" s="20" t="n">
        <f aca="false">ROUND((Q492-P492)*24,4)</f>
        <v>10</v>
      </c>
      <c r="T492" s="18" t="str">
        <f aca="false">TEXT(P492,"YYYY-MM")</f>
        <v>2026-07</v>
      </c>
      <c r="U492" s="18" t="n">
        <f aca="false">RANK(S492,$S$2:$S$670)+COUNTIF($S$2:S492,S492)-1</f>
        <v>146</v>
      </c>
      <c r="V492" s="20" t="n">
        <f aca="false">ROUND((R492-Q492)*24,4)</f>
        <v>33</v>
      </c>
      <c r="W492" s="20" t="n">
        <f aca="false">ROUND((R492-P492)*24,4)</f>
        <v>43</v>
      </c>
      <c r="X492" s="18" t="str">
        <f aca="false">TEXT(P492,"dddd")</f>
        <v>Wednesday</v>
      </c>
      <c r="Y492" s="18" t="n">
        <f aca="false">HOUR(Q492)</f>
        <v>7</v>
      </c>
    </row>
    <row r="493" customFormat="false" ht="15" hidden="false" customHeight="false" outlineLevel="0" collapsed="false">
      <c r="A493" s="18" t="s">
        <v>35</v>
      </c>
      <c r="B493" s="18" t="s">
        <v>228</v>
      </c>
      <c r="C493" s="18" t="s">
        <v>229</v>
      </c>
      <c r="D493" s="18" t="s">
        <v>52</v>
      </c>
      <c r="E493" s="18" t="s">
        <v>163</v>
      </c>
      <c r="F493" s="18" t="n">
        <v>2606</v>
      </c>
      <c r="G493" s="18" t="s">
        <v>125</v>
      </c>
      <c r="H493" s="18" t="s">
        <v>270</v>
      </c>
      <c r="I493" s="18" t="s">
        <v>24</v>
      </c>
      <c r="J493" s="18" t="s">
        <v>13</v>
      </c>
      <c r="K493" s="18" t="s">
        <v>186</v>
      </c>
      <c r="L493" s="18" t="s">
        <v>125</v>
      </c>
      <c r="M493" s="18" t="s">
        <v>125</v>
      </c>
      <c r="N493" s="18" t="s">
        <v>125</v>
      </c>
      <c r="O493" s="18"/>
      <c r="P493" s="19" t="n">
        <v>46204.9166666667</v>
      </c>
      <c r="Q493" s="19" t="n">
        <v>46204.9583333333</v>
      </c>
      <c r="R493" s="19" t="n">
        <v>46205.4583333333</v>
      </c>
      <c r="S493" s="20" t="n">
        <f aca="false">ROUND((Q493-P493)*24,4)</f>
        <v>1</v>
      </c>
      <c r="T493" s="18" t="str">
        <f aca="false">TEXT(P493,"YYYY-MM")</f>
        <v>2026-07</v>
      </c>
      <c r="U493" s="18" t="n">
        <f aca="false">RANK(S493,$S$2:$S$670)+COUNTIF($S$2:S493,S493)-1</f>
        <v>516</v>
      </c>
      <c r="V493" s="20" t="n">
        <f aca="false">ROUND((R493-Q493)*24,4)</f>
        <v>12</v>
      </c>
      <c r="W493" s="20" t="n">
        <f aca="false">ROUND((R493-P493)*24,4)</f>
        <v>13</v>
      </c>
      <c r="X493" s="18" t="str">
        <f aca="false">TEXT(P493,"dddd")</f>
        <v>Wednesday</v>
      </c>
      <c r="Y493" s="18" t="n">
        <f aca="false">HOUR(Q493)</f>
        <v>23</v>
      </c>
    </row>
    <row r="494" customFormat="false" ht="15" hidden="false" customHeight="false" outlineLevel="0" collapsed="false">
      <c r="A494" s="18" t="s">
        <v>37</v>
      </c>
      <c r="B494" s="18" t="s">
        <v>196</v>
      </c>
      <c r="C494" s="18" t="s">
        <v>197</v>
      </c>
      <c r="D494" s="18" t="s">
        <v>46</v>
      </c>
      <c r="E494" s="18" t="s">
        <v>185</v>
      </c>
      <c r="F494" s="18" t="n">
        <v>2606</v>
      </c>
      <c r="G494" s="18" t="s">
        <v>125</v>
      </c>
      <c r="H494" s="18" t="s">
        <v>270</v>
      </c>
      <c r="I494" s="18" t="s">
        <v>20</v>
      </c>
      <c r="J494" s="18" t="s">
        <v>13</v>
      </c>
      <c r="K494" s="18" t="s">
        <v>165</v>
      </c>
      <c r="L494" s="18" t="s">
        <v>125</v>
      </c>
      <c r="M494" s="18" t="s">
        <v>125</v>
      </c>
      <c r="N494" s="18" t="s">
        <v>125</v>
      </c>
      <c r="O494" s="18"/>
      <c r="P494" s="19" t="n">
        <v>46204.9583333333</v>
      </c>
      <c r="Q494" s="19" t="n">
        <v>46206.0916666667</v>
      </c>
      <c r="R494" s="19" t="n">
        <v>46206.5291666667</v>
      </c>
      <c r="S494" s="20" t="n">
        <f aca="false">ROUND((Q494-P494)*24,4)</f>
        <v>27.2</v>
      </c>
      <c r="T494" s="18" t="str">
        <f aca="false">TEXT(P494,"YYYY-MM")</f>
        <v>2026-07</v>
      </c>
      <c r="U494" s="18" t="n">
        <f aca="false">RANK(S494,$S$2:$S$670)+COUNTIF($S$2:S494,S494)-1</f>
        <v>27</v>
      </c>
      <c r="V494" s="20" t="n">
        <f aca="false">ROUND((R494-Q494)*24,4)</f>
        <v>10.5</v>
      </c>
      <c r="W494" s="20" t="n">
        <f aca="false">ROUND((R494-P494)*24,4)</f>
        <v>37.7</v>
      </c>
      <c r="X494" s="18" t="str">
        <f aca="false">TEXT(P494,"dddd")</f>
        <v>Wednesday</v>
      </c>
      <c r="Y494" s="18" t="n">
        <f aca="false">HOUR(Q494)</f>
        <v>2</v>
      </c>
    </row>
    <row r="495" customFormat="false" ht="15" hidden="false" customHeight="false" outlineLevel="0" collapsed="false">
      <c r="A495" s="18" t="s">
        <v>39</v>
      </c>
      <c r="B495" s="18" t="s">
        <v>287</v>
      </c>
      <c r="C495" s="18" t="s">
        <v>288</v>
      </c>
      <c r="D495" s="18" t="s">
        <v>46</v>
      </c>
      <c r="E495" s="18" t="s">
        <v>176</v>
      </c>
      <c r="F495" s="18" t="n">
        <v>2605</v>
      </c>
      <c r="G495" s="18" t="s">
        <v>125</v>
      </c>
      <c r="H495" s="18" t="s">
        <v>305</v>
      </c>
      <c r="I495" s="18" t="s">
        <v>21</v>
      </c>
      <c r="J495" s="18" t="s">
        <v>13</v>
      </c>
      <c r="K495" s="18" t="s">
        <v>216</v>
      </c>
      <c r="L495" s="18" t="s">
        <v>144</v>
      </c>
      <c r="M495" s="18" t="s">
        <v>125</v>
      </c>
      <c r="N495" s="18" t="s">
        <v>125</v>
      </c>
      <c r="O495" s="18"/>
      <c r="P495" s="19" t="n">
        <v>46205.5006944445</v>
      </c>
      <c r="Q495" s="19" t="n">
        <v>46205.5013888889</v>
      </c>
      <c r="R495" s="19" t="n">
        <v>46205.5020833333</v>
      </c>
      <c r="S495" s="20" t="n">
        <f aca="false">ROUND((Q495-P495)*24,4)</f>
        <v>0.0167</v>
      </c>
      <c r="T495" s="18" t="str">
        <f aca="false">TEXT(P495,"YYYY-MM")</f>
        <v>2026-07</v>
      </c>
      <c r="U495" s="18" t="n">
        <f aca="false">RANK(S495,$S$2:$S$670)+COUNTIF($S$2:S495,S495)-1</f>
        <v>657</v>
      </c>
      <c r="V495" s="20" t="n">
        <f aca="false">ROUND((R495-Q495)*24,4)</f>
        <v>0.0167</v>
      </c>
      <c r="W495" s="20" t="n">
        <f aca="false">ROUND((R495-P495)*24,4)</f>
        <v>0.0333</v>
      </c>
      <c r="X495" s="18" t="str">
        <f aca="false">TEXT(P495,"dddd")</f>
        <v>Thursday</v>
      </c>
      <c r="Y495" s="18" t="n">
        <f aca="false">HOUR(Q495)</f>
        <v>12</v>
      </c>
    </row>
    <row r="496" customFormat="false" ht="15" hidden="false" customHeight="false" outlineLevel="0" collapsed="false">
      <c r="A496" s="18" t="s">
        <v>33</v>
      </c>
      <c r="B496" s="18" t="s">
        <v>194</v>
      </c>
      <c r="C496" s="18" t="s">
        <v>195</v>
      </c>
      <c r="D496" s="18" t="s">
        <v>46</v>
      </c>
      <c r="E496" s="18" t="s">
        <v>163</v>
      </c>
      <c r="F496" s="18" t="n">
        <v>2607</v>
      </c>
      <c r="G496" s="18" t="s">
        <v>127</v>
      </c>
      <c r="H496" s="18" t="s">
        <v>289</v>
      </c>
      <c r="I496" s="18" t="s">
        <v>23</v>
      </c>
      <c r="J496" s="18" t="s">
        <v>13</v>
      </c>
      <c r="K496" s="18" t="s">
        <v>12</v>
      </c>
      <c r="L496" s="18" t="s">
        <v>125</v>
      </c>
      <c r="M496" s="18" t="s">
        <v>125</v>
      </c>
      <c r="N496" s="18" t="s">
        <v>144</v>
      </c>
      <c r="O496" s="18"/>
      <c r="P496" s="19" t="n">
        <v>46205.5416666667</v>
      </c>
      <c r="Q496" s="19" t="n">
        <v>46205.5833333333</v>
      </c>
      <c r="R496" s="19" t="n">
        <v>46206.0833333333</v>
      </c>
      <c r="S496" s="20" t="n">
        <f aca="false">ROUND((Q496-P496)*24,4)</f>
        <v>1</v>
      </c>
      <c r="T496" s="18" t="str">
        <f aca="false">TEXT(P496,"YYYY-MM")</f>
        <v>2026-07</v>
      </c>
      <c r="U496" s="18" t="n">
        <f aca="false">RANK(S496,$S$2:$S$670)+COUNTIF($S$2:S496,S496)-1</f>
        <v>517</v>
      </c>
      <c r="V496" s="20" t="n">
        <f aca="false">ROUND((R496-Q496)*24,4)</f>
        <v>12</v>
      </c>
      <c r="W496" s="20" t="n">
        <f aca="false">ROUND((R496-P496)*24,4)</f>
        <v>13</v>
      </c>
      <c r="X496" s="18" t="str">
        <f aca="false">TEXT(P496,"dddd")</f>
        <v>Thursday</v>
      </c>
      <c r="Y496" s="18" t="n">
        <f aca="false">HOUR(Q496)</f>
        <v>14</v>
      </c>
    </row>
    <row r="497" customFormat="false" ht="15" hidden="false" customHeight="false" outlineLevel="0" collapsed="false">
      <c r="A497" s="18" t="s">
        <v>36</v>
      </c>
      <c r="B497" s="18" t="s">
        <v>267</v>
      </c>
      <c r="C497" s="18" t="s">
        <v>268</v>
      </c>
      <c r="D497" s="18" t="s">
        <v>46</v>
      </c>
      <c r="E497" s="18" t="s">
        <v>168</v>
      </c>
      <c r="F497" s="18" t="n">
        <v>2611</v>
      </c>
      <c r="G497" s="18" t="s">
        <v>127</v>
      </c>
      <c r="H497" s="18" t="s">
        <v>328</v>
      </c>
      <c r="I497" s="18" t="s">
        <v>23</v>
      </c>
      <c r="J497" s="18" t="s">
        <v>13</v>
      </c>
      <c r="K497" s="18" t="s">
        <v>12</v>
      </c>
      <c r="L497" s="18" t="s">
        <v>125</v>
      </c>
      <c r="M497" s="18" t="s">
        <v>125</v>
      </c>
      <c r="N497" s="18" t="s">
        <v>125</v>
      </c>
      <c r="O497" s="18"/>
      <c r="P497" s="19" t="n">
        <v>46206.0416666667</v>
      </c>
      <c r="Q497" s="19" t="n">
        <v>46206.0833333333</v>
      </c>
      <c r="R497" s="19" t="n">
        <v>46206.5416666667</v>
      </c>
      <c r="S497" s="20" t="n">
        <f aca="false">ROUND((Q497-P497)*24,4)</f>
        <v>1</v>
      </c>
      <c r="T497" s="18" t="str">
        <f aca="false">TEXT(P497,"YYYY-MM")</f>
        <v>2026-07</v>
      </c>
      <c r="U497" s="18" t="n">
        <f aca="false">RANK(S497,$S$2:$S$670)+COUNTIF($S$2:S497,S497)-1</f>
        <v>518</v>
      </c>
      <c r="V497" s="20" t="n">
        <f aca="false">ROUND((R497-Q497)*24,4)</f>
        <v>11</v>
      </c>
      <c r="W497" s="20" t="n">
        <f aca="false">ROUND((R497-P497)*24,4)</f>
        <v>12</v>
      </c>
      <c r="X497" s="18" t="str">
        <f aca="false">TEXT(P497,"dddd")</f>
        <v>Friday</v>
      </c>
      <c r="Y497" s="18" t="n">
        <f aca="false">HOUR(Q497)</f>
        <v>2</v>
      </c>
    </row>
    <row r="498" customFormat="false" ht="15" hidden="false" customHeight="false" outlineLevel="0" collapsed="false">
      <c r="A498" s="18" t="s">
        <v>33</v>
      </c>
      <c r="B498" s="18" t="s">
        <v>194</v>
      </c>
      <c r="C498" s="18" t="s">
        <v>195</v>
      </c>
      <c r="D498" s="18" t="s">
        <v>46</v>
      </c>
      <c r="E498" s="18" t="s">
        <v>176</v>
      </c>
      <c r="F498" s="18" t="n">
        <v>2607</v>
      </c>
      <c r="G498" s="18" t="s">
        <v>125</v>
      </c>
      <c r="H498" s="18" t="s">
        <v>290</v>
      </c>
      <c r="I498" s="18" t="s">
        <v>18</v>
      </c>
      <c r="J498" s="18" t="s">
        <v>12</v>
      </c>
      <c r="K498" s="18" t="s">
        <v>13</v>
      </c>
      <c r="L498" s="18" t="s">
        <v>125</v>
      </c>
      <c r="M498" s="18" t="s">
        <v>125</v>
      </c>
      <c r="N498" s="18" t="s">
        <v>125</v>
      </c>
      <c r="O498" s="18"/>
      <c r="P498" s="19" t="n">
        <v>46206.25</v>
      </c>
      <c r="Q498" s="19" t="n">
        <v>46206.3333333333</v>
      </c>
      <c r="R498" s="19" t="n">
        <v>46207.1666666667</v>
      </c>
      <c r="S498" s="20" t="n">
        <f aca="false">ROUND((Q498-P498)*24,4)</f>
        <v>2</v>
      </c>
      <c r="T498" s="18" t="str">
        <f aca="false">TEXT(P498,"YYYY-MM")</f>
        <v>2026-07</v>
      </c>
      <c r="U498" s="18" t="n">
        <f aca="false">RANK(S498,$S$2:$S$670)+COUNTIF($S$2:S498,S498)-1</f>
        <v>337</v>
      </c>
      <c r="V498" s="20" t="n">
        <f aca="false">ROUND((R498-Q498)*24,4)</f>
        <v>20</v>
      </c>
      <c r="W498" s="20" t="n">
        <f aca="false">ROUND((R498-P498)*24,4)</f>
        <v>22</v>
      </c>
      <c r="X498" s="18" t="str">
        <f aca="false">TEXT(P498,"dddd")</f>
        <v>Friday</v>
      </c>
      <c r="Y498" s="18" t="n">
        <f aca="false">HOUR(Q498)</f>
        <v>8</v>
      </c>
    </row>
    <row r="499" customFormat="false" ht="15" hidden="false" customHeight="false" outlineLevel="0" collapsed="false">
      <c r="A499" s="18" t="s">
        <v>32</v>
      </c>
      <c r="B499" s="18" t="s">
        <v>225</v>
      </c>
      <c r="C499" s="18" t="s">
        <v>226</v>
      </c>
      <c r="D499" s="18" t="s">
        <v>47</v>
      </c>
      <c r="E499" s="18" t="s">
        <v>176</v>
      </c>
      <c r="F499" s="18" t="n">
        <v>2608</v>
      </c>
      <c r="G499" s="18" t="s">
        <v>125</v>
      </c>
      <c r="H499" s="18" t="s">
        <v>302</v>
      </c>
      <c r="I499" s="18" t="s">
        <v>23</v>
      </c>
      <c r="J499" s="18" t="s">
        <v>13</v>
      </c>
      <c r="K499" s="18" t="s">
        <v>186</v>
      </c>
      <c r="L499" s="18" t="s">
        <v>125</v>
      </c>
      <c r="M499" s="18" t="s">
        <v>125</v>
      </c>
      <c r="N499" s="18" t="s">
        <v>125</v>
      </c>
      <c r="O499" s="18"/>
      <c r="P499" s="19" t="n">
        <v>46206.3333333333</v>
      </c>
      <c r="Q499" s="19" t="n">
        <v>46206.625</v>
      </c>
      <c r="R499" s="19" t="n">
        <v>46206.9583333333</v>
      </c>
      <c r="S499" s="20" t="n">
        <f aca="false">ROUND((Q499-P499)*24,4)</f>
        <v>7</v>
      </c>
      <c r="T499" s="18" t="str">
        <f aca="false">TEXT(P499,"YYYY-MM")</f>
        <v>2026-07</v>
      </c>
      <c r="U499" s="18" t="n">
        <f aca="false">RANK(S499,$S$2:$S$670)+COUNTIF($S$2:S499,S499)-1</f>
        <v>194</v>
      </c>
      <c r="V499" s="20" t="n">
        <f aca="false">ROUND((R499-Q499)*24,4)</f>
        <v>8</v>
      </c>
      <c r="W499" s="20" t="n">
        <f aca="false">ROUND((R499-P499)*24,4)</f>
        <v>15</v>
      </c>
      <c r="X499" s="18" t="str">
        <f aca="false">TEXT(P499,"dddd")</f>
        <v>Friday</v>
      </c>
      <c r="Y499" s="18" t="n">
        <f aca="false">HOUR(Q499)</f>
        <v>15</v>
      </c>
    </row>
    <row r="500" customFormat="false" ht="15" hidden="false" customHeight="false" outlineLevel="0" collapsed="false">
      <c r="A500" s="18" t="s">
        <v>36</v>
      </c>
      <c r="B500" s="18" t="s">
        <v>267</v>
      </c>
      <c r="C500" s="18" t="s">
        <v>268</v>
      </c>
      <c r="D500" s="18" t="s">
        <v>46</v>
      </c>
      <c r="E500" s="18" t="s">
        <v>163</v>
      </c>
      <c r="F500" s="18" t="n">
        <v>2611</v>
      </c>
      <c r="G500" s="18" t="s">
        <v>125</v>
      </c>
      <c r="H500" s="18" t="s">
        <v>329</v>
      </c>
      <c r="I500" s="18" t="s">
        <v>17</v>
      </c>
      <c r="J500" s="18" t="s">
        <v>12</v>
      </c>
      <c r="K500" s="18" t="s">
        <v>13</v>
      </c>
      <c r="L500" s="18" t="s">
        <v>125</v>
      </c>
      <c r="M500" s="18" t="s">
        <v>125</v>
      </c>
      <c r="N500" s="18" t="s">
        <v>125</v>
      </c>
      <c r="O500" s="18"/>
      <c r="P500" s="19" t="n">
        <v>46206.625</v>
      </c>
      <c r="Q500" s="19" t="n">
        <v>46206.9166666667</v>
      </c>
      <c r="R500" s="19" t="n">
        <v>46208.75</v>
      </c>
      <c r="S500" s="20" t="n">
        <f aca="false">ROUND((Q500-P500)*24,4)</f>
        <v>7</v>
      </c>
      <c r="T500" s="18" t="str">
        <f aca="false">TEXT(P500,"YYYY-MM")</f>
        <v>2026-07</v>
      </c>
      <c r="U500" s="18" t="n">
        <f aca="false">RANK(S500,$S$2:$S$670)+COUNTIF($S$2:S500,S500)-1</f>
        <v>195</v>
      </c>
      <c r="V500" s="20" t="n">
        <f aca="false">ROUND((R500-Q500)*24,4)</f>
        <v>44</v>
      </c>
      <c r="W500" s="20" t="n">
        <f aca="false">ROUND((R500-P500)*24,4)</f>
        <v>51</v>
      </c>
      <c r="X500" s="18" t="str">
        <f aca="false">TEXT(P500,"dddd")</f>
        <v>Friday</v>
      </c>
      <c r="Y500" s="18" t="n">
        <f aca="false">HOUR(Q500)</f>
        <v>22</v>
      </c>
    </row>
    <row r="501" customFormat="false" ht="15" hidden="false" customHeight="false" outlineLevel="0" collapsed="false">
      <c r="A501" s="18" t="s">
        <v>36</v>
      </c>
      <c r="B501" s="18" t="s">
        <v>326</v>
      </c>
      <c r="C501" s="18" t="s">
        <v>327</v>
      </c>
      <c r="D501" s="18" t="s">
        <v>47</v>
      </c>
      <c r="E501" s="18" t="s">
        <v>176</v>
      </c>
      <c r="F501" s="18" t="n">
        <v>2601</v>
      </c>
      <c r="G501" s="18" t="s">
        <v>125</v>
      </c>
      <c r="H501" s="18" t="s">
        <v>231</v>
      </c>
      <c r="I501" s="18" t="s">
        <v>23</v>
      </c>
      <c r="J501" s="18" t="s">
        <v>13</v>
      </c>
      <c r="K501" s="18" t="s">
        <v>186</v>
      </c>
      <c r="L501" s="18" t="s">
        <v>125</v>
      </c>
      <c r="M501" s="18" t="s">
        <v>125</v>
      </c>
      <c r="N501" s="18" t="s">
        <v>125</v>
      </c>
      <c r="O501" s="18"/>
      <c r="P501" s="19" t="n">
        <v>46206.875</v>
      </c>
      <c r="Q501" s="19" t="n">
        <v>46207.0416666667</v>
      </c>
      <c r="R501" s="19" t="n">
        <v>46207.4166666667</v>
      </c>
      <c r="S501" s="20" t="n">
        <f aca="false">ROUND((Q501-P501)*24,4)</f>
        <v>4</v>
      </c>
      <c r="T501" s="18" t="str">
        <f aca="false">TEXT(P501,"YYYY-MM")</f>
        <v>2026-07</v>
      </c>
      <c r="U501" s="18" t="n">
        <f aca="false">RANK(S501,$S$2:$S$670)+COUNTIF($S$2:S501,S501)-1</f>
        <v>254</v>
      </c>
      <c r="V501" s="20" t="n">
        <f aca="false">ROUND((R501-Q501)*24,4)</f>
        <v>9</v>
      </c>
      <c r="W501" s="20" t="n">
        <f aca="false">ROUND((R501-P501)*24,4)</f>
        <v>13</v>
      </c>
      <c r="X501" s="18" t="str">
        <f aca="false">TEXT(P501,"dddd")</f>
        <v>Friday</v>
      </c>
      <c r="Y501" s="18" t="n">
        <f aca="false">HOUR(Q501)</f>
        <v>1</v>
      </c>
    </row>
    <row r="502" customFormat="false" ht="15" hidden="false" customHeight="false" outlineLevel="0" collapsed="false">
      <c r="A502" s="18" t="s">
        <v>33</v>
      </c>
      <c r="B502" s="18" t="s">
        <v>194</v>
      </c>
      <c r="C502" s="18" t="s">
        <v>195</v>
      </c>
      <c r="D502" s="18" t="s">
        <v>46</v>
      </c>
      <c r="E502" s="18" t="s">
        <v>185</v>
      </c>
      <c r="F502" s="18" t="n">
        <v>2607</v>
      </c>
      <c r="G502" s="18" t="s">
        <v>125</v>
      </c>
      <c r="H502" s="18" t="s">
        <v>290</v>
      </c>
      <c r="I502" s="18" t="s">
        <v>23</v>
      </c>
      <c r="J502" s="18" t="s">
        <v>13</v>
      </c>
      <c r="K502" s="18" t="s">
        <v>165</v>
      </c>
      <c r="L502" s="18" t="s">
        <v>125</v>
      </c>
      <c r="M502" s="18" t="s">
        <v>144</v>
      </c>
      <c r="N502" s="18" t="s">
        <v>125</v>
      </c>
      <c r="O502" s="18"/>
      <c r="P502" s="19" t="n">
        <v>46207.3333333333</v>
      </c>
      <c r="Q502" s="19" t="n">
        <v>46207.4166666667</v>
      </c>
      <c r="R502" s="19" t="n">
        <v>46207.8333333333</v>
      </c>
      <c r="S502" s="20" t="n">
        <f aca="false">ROUND((Q502-P502)*24,4)</f>
        <v>2</v>
      </c>
      <c r="T502" s="18" t="str">
        <f aca="false">TEXT(P502,"YYYY-MM")</f>
        <v>2026-07</v>
      </c>
      <c r="U502" s="18" t="n">
        <f aca="false">RANK(S502,$S$2:$S$670)+COUNTIF($S$2:S502,S502)-1</f>
        <v>338</v>
      </c>
      <c r="V502" s="20" t="n">
        <f aca="false">ROUND((R502-Q502)*24,4)</f>
        <v>10</v>
      </c>
      <c r="W502" s="20" t="n">
        <f aca="false">ROUND((R502-P502)*24,4)</f>
        <v>12</v>
      </c>
      <c r="X502" s="18" t="str">
        <f aca="false">TEXT(P502,"dddd")</f>
        <v>Saturday</v>
      </c>
      <c r="Y502" s="18" t="n">
        <f aca="false">HOUR(Q502)</f>
        <v>10</v>
      </c>
    </row>
    <row r="503" customFormat="false" ht="15" hidden="false" customHeight="false" outlineLevel="0" collapsed="false">
      <c r="A503" s="18" t="s">
        <v>31</v>
      </c>
      <c r="B503" s="18" t="s">
        <v>312</v>
      </c>
      <c r="C503" s="18" t="s">
        <v>313</v>
      </c>
      <c r="D503" s="18" t="s">
        <v>47</v>
      </c>
      <c r="E503" s="18" t="s">
        <v>163</v>
      </c>
      <c r="F503" s="18" t="n">
        <v>2608</v>
      </c>
      <c r="G503" s="18" t="s">
        <v>125</v>
      </c>
      <c r="H503" s="18" t="s">
        <v>302</v>
      </c>
      <c r="I503" s="18" t="s">
        <v>24</v>
      </c>
      <c r="J503" s="18" t="s">
        <v>13</v>
      </c>
      <c r="K503" s="18" t="s">
        <v>165</v>
      </c>
      <c r="L503" s="18" t="s">
        <v>125</v>
      </c>
      <c r="M503" s="18" t="s">
        <v>125</v>
      </c>
      <c r="N503" s="18" t="s">
        <v>125</v>
      </c>
      <c r="O503" s="18" t="s">
        <v>314</v>
      </c>
      <c r="P503" s="19" t="n">
        <v>46207.6666666667</v>
      </c>
      <c r="Q503" s="19" t="n">
        <v>46207.7083333333</v>
      </c>
      <c r="R503" s="19" t="n">
        <v>46208.5833333333</v>
      </c>
      <c r="S503" s="20" t="n">
        <f aca="false">ROUND((Q503-P503)*24,4)</f>
        <v>1</v>
      </c>
      <c r="T503" s="18" t="str">
        <f aca="false">TEXT(P503,"YYYY-MM")</f>
        <v>2026-07</v>
      </c>
      <c r="U503" s="18" t="n">
        <f aca="false">RANK(S503,$S$2:$S$670)+COUNTIF($S$2:S503,S503)-1</f>
        <v>519</v>
      </c>
      <c r="V503" s="20" t="n">
        <f aca="false">ROUND((R503-Q503)*24,4)</f>
        <v>21</v>
      </c>
      <c r="W503" s="20" t="n">
        <f aca="false">ROUND((R503-P503)*24,4)</f>
        <v>22</v>
      </c>
      <c r="X503" s="18" t="str">
        <f aca="false">TEXT(P503,"dddd")</f>
        <v>Saturday</v>
      </c>
      <c r="Y503" s="18" t="n">
        <f aca="false">HOUR(Q503)</f>
        <v>17</v>
      </c>
    </row>
    <row r="504" customFormat="false" ht="15" hidden="false" customHeight="false" outlineLevel="0" collapsed="false">
      <c r="A504" s="18" t="s">
        <v>35</v>
      </c>
      <c r="B504" s="18" t="s">
        <v>166</v>
      </c>
      <c r="C504" s="18" t="s">
        <v>167</v>
      </c>
      <c r="D504" s="18" t="s">
        <v>47</v>
      </c>
      <c r="E504" s="18" t="s">
        <v>198</v>
      </c>
      <c r="F504" s="18" t="n">
        <v>2607</v>
      </c>
      <c r="G504" s="18" t="s">
        <v>127</v>
      </c>
      <c r="H504" s="18" t="s">
        <v>289</v>
      </c>
      <c r="I504" s="18" t="s">
        <v>24</v>
      </c>
      <c r="J504" s="18" t="s">
        <v>13</v>
      </c>
      <c r="K504" s="18" t="s">
        <v>12</v>
      </c>
      <c r="L504" s="18" t="s">
        <v>125</v>
      </c>
      <c r="M504" s="18" t="s">
        <v>125</v>
      </c>
      <c r="N504" s="18" t="s">
        <v>144</v>
      </c>
      <c r="O504" s="18"/>
      <c r="P504" s="19" t="n">
        <v>46208.5</v>
      </c>
      <c r="Q504" s="19" t="n">
        <v>46208.5416666667</v>
      </c>
      <c r="R504" s="19" t="n">
        <v>46208.9166666667</v>
      </c>
      <c r="S504" s="20" t="n">
        <f aca="false">ROUND((Q504-P504)*24,4)</f>
        <v>1</v>
      </c>
      <c r="T504" s="18" t="str">
        <f aca="false">TEXT(P504,"YYYY-MM")</f>
        <v>2026-07</v>
      </c>
      <c r="U504" s="18" t="n">
        <f aca="false">RANK(S504,$S$2:$S$670)+COUNTIF($S$2:S504,S504)-1</f>
        <v>520</v>
      </c>
      <c r="V504" s="20" t="n">
        <f aca="false">ROUND((R504-Q504)*24,4)</f>
        <v>9</v>
      </c>
      <c r="W504" s="20" t="n">
        <f aca="false">ROUND((R504-P504)*24,4)</f>
        <v>10</v>
      </c>
      <c r="X504" s="18" t="str">
        <f aca="false">TEXT(P504,"dddd")</f>
        <v>Sunday</v>
      </c>
      <c r="Y504" s="18" t="n">
        <f aca="false">HOUR(Q504)</f>
        <v>13</v>
      </c>
    </row>
    <row r="505" customFormat="false" ht="15" hidden="false" customHeight="false" outlineLevel="0" collapsed="false">
      <c r="A505" s="18" t="s">
        <v>36</v>
      </c>
      <c r="B505" s="18" t="s">
        <v>267</v>
      </c>
      <c r="C505" s="18" t="s">
        <v>268</v>
      </c>
      <c r="D505" s="18" t="s">
        <v>46</v>
      </c>
      <c r="E505" s="18" t="s">
        <v>176</v>
      </c>
      <c r="F505" s="18" t="n">
        <v>2611</v>
      </c>
      <c r="G505" s="18" t="s">
        <v>125</v>
      </c>
      <c r="H505" s="18" t="s">
        <v>329</v>
      </c>
      <c r="I505" s="18" t="s">
        <v>23</v>
      </c>
      <c r="J505" s="18" t="s">
        <v>13</v>
      </c>
      <c r="K505" s="18" t="s">
        <v>186</v>
      </c>
      <c r="L505" s="18" t="s">
        <v>125</v>
      </c>
      <c r="M505" s="18" t="s">
        <v>125</v>
      </c>
      <c r="N505" s="18" t="s">
        <v>125</v>
      </c>
      <c r="O505" s="18"/>
      <c r="P505" s="19" t="n">
        <v>46208.9583333333</v>
      </c>
      <c r="Q505" s="19" t="n">
        <v>46209.1666666667</v>
      </c>
      <c r="R505" s="19" t="n">
        <v>46209.5833333333</v>
      </c>
      <c r="S505" s="20" t="n">
        <f aca="false">ROUND((Q505-P505)*24,4)</f>
        <v>5</v>
      </c>
      <c r="T505" s="18" t="str">
        <f aca="false">TEXT(P505,"YYYY-MM")</f>
        <v>2026-07</v>
      </c>
      <c r="U505" s="18" t="n">
        <f aca="false">RANK(S505,$S$2:$S$670)+COUNTIF($S$2:S505,S505)-1</f>
        <v>234</v>
      </c>
      <c r="V505" s="20" t="n">
        <f aca="false">ROUND((R505-Q505)*24,4)</f>
        <v>10</v>
      </c>
      <c r="W505" s="20" t="n">
        <f aca="false">ROUND((R505-P505)*24,4)</f>
        <v>15</v>
      </c>
      <c r="X505" s="18" t="str">
        <f aca="false">TEXT(P505,"dddd")</f>
        <v>Sunday</v>
      </c>
      <c r="Y505" s="18" t="n">
        <f aca="false">HOUR(Q505)</f>
        <v>4</v>
      </c>
    </row>
    <row r="506" customFormat="false" ht="15" hidden="false" customHeight="false" outlineLevel="0" collapsed="false">
      <c r="A506" s="18" t="s">
        <v>34</v>
      </c>
      <c r="B506" s="18" t="s">
        <v>233</v>
      </c>
      <c r="C506" s="18" t="s">
        <v>234</v>
      </c>
      <c r="D506" s="18" t="s">
        <v>46</v>
      </c>
      <c r="E506" s="18" t="s">
        <v>163</v>
      </c>
      <c r="F506" s="18" t="n">
        <v>2607</v>
      </c>
      <c r="G506" s="18" t="s">
        <v>127</v>
      </c>
      <c r="H506" s="18" t="s">
        <v>289</v>
      </c>
      <c r="I506" s="18" t="s">
        <v>23</v>
      </c>
      <c r="J506" s="18" t="s">
        <v>13</v>
      </c>
      <c r="K506" s="18" t="s">
        <v>12</v>
      </c>
      <c r="L506" s="18" t="s">
        <v>125</v>
      </c>
      <c r="M506" s="18" t="s">
        <v>125</v>
      </c>
      <c r="N506" s="18" t="s">
        <v>125</v>
      </c>
      <c r="O506" s="18"/>
      <c r="P506" s="19" t="n">
        <v>46209</v>
      </c>
      <c r="Q506" s="19" t="n">
        <v>46209.0625</v>
      </c>
      <c r="R506" s="19" t="n">
        <v>46209.375</v>
      </c>
      <c r="S506" s="20" t="n">
        <f aca="false">ROUND((Q506-P506)*24,4)</f>
        <v>1.5</v>
      </c>
      <c r="T506" s="18" t="str">
        <f aca="false">TEXT(P506,"YYYY-MM")</f>
        <v>2026-07</v>
      </c>
      <c r="U506" s="18" t="n">
        <f aca="false">RANK(S506,$S$2:$S$670)+COUNTIF($S$2:S506,S506)-1</f>
        <v>361</v>
      </c>
      <c r="V506" s="20" t="n">
        <f aca="false">ROUND((R506-Q506)*24,4)</f>
        <v>7.5</v>
      </c>
      <c r="W506" s="20" t="n">
        <f aca="false">ROUND((R506-P506)*24,4)</f>
        <v>9</v>
      </c>
      <c r="X506" s="18" t="str">
        <f aca="false">TEXT(P506,"dddd")</f>
        <v>Monday</v>
      </c>
      <c r="Y506" s="18" t="n">
        <f aca="false">HOUR(Q506)</f>
        <v>1</v>
      </c>
    </row>
    <row r="507" customFormat="false" ht="15" hidden="false" customHeight="false" outlineLevel="0" collapsed="false">
      <c r="A507" s="18" t="s">
        <v>35</v>
      </c>
      <c r="B507" s="18" t="s">
        <v>166</v>
      </c>
      <c r="C507" s="18" t="s">
        <v>167</v>
      </c>
      <c r="D507" s="18" t="s">
        <v>47</v>
      </c>
      <c r="E507" s="18" t="s">
        <v>168</v>
      </c>
      <c r="F507" s="18" t="n">
        <v>2607</v>
      </c>
      <c r="G507" s="18" t="s">
        <v>125</v>
      </c>
      <c r="H507" s="18" t="s">
        <v>290</v>
      </c>
      <c r="I507" s="18" t="s">
        <v>19</v>
      </c>
      <c r="J507" s="18" t="s">
        <v>12</v>
      </c>
      <c r="K507" s="18" t="s">
        <v>13</v>
      </c>
      <c r="L507" s="18" t="s">
        <v>125</v>
      </c>
      <c r="M507" s="18" t="s">
        <v>125</v>
      </c>
      <c r="N507" s="18" t="s">
        <v>125</v>
      </c>
      <c r="O507" s="18"/>
      <c r="P507" s="19" t="n">
        <v>46209.0208333333</v>
      </c>
      <c r="Q507" s="19" t="n">
        <v>46209.9583333333</v>
      </c>
      <c r="R507" s="19" t="n">
        <v>46211.75</v>
      </c>
      <c r="S507" s="20" t="n">
        <f aca="false">ROUND((Q507-P507)*24,4)</f>
        <v>22.5</v>
      </c>
      <c r="T507" s="18" t="str">
        <f aca="false">TEXT(P507,"YYYY-MM")</f>
        <v>2026-07</v>
      </c>
      <c r="U507" s="18" t="n">
        <f aca="false">RANK(S507,$S$2:$S$670)+COUNTIF($S$2:S507,S507)-1</f>
        <v>37</v>
      </c>
      <c r="V507" s="20" t="n">
        <f aca="false">ROUND((R507-Q507)*24,4)</f>
        <v>43</v>
      </c>
      <c r="W507" s="20" t="n">
        <f aca="false">ROUND((R507-P507)*24,4)</f>
        <v>65.5</v>
      </c>
      <c r="X507" s="18" t="str">
        <f aca="false">TEXT(P507,"dddd")</f>
        <v>Monday</v>
      </c>
      <c r="Y507" s="18" t="n">
        <f aca="false">HOUR(Q507)</f>
        <v>23</v>
      </c>
    </row>
    <row r="508" customFormat="false" ht="15" hidden="false" customHeight="false" outlineLevel="0" collapsed="false">
      <c r="A508" s="18" t="s">
        <v>34</v>
      </c>
      <c r="B508" s="18" t="s">
        <v>233</v>
      </c>
      <c r="C508" s="18" t="s">
        <v>234</v>
      </c>
      <c r="D508" s="18" t="s">
        <v>46</v>
      </c>
      <c r="E508" s="18" t="s">
        <v>176</v>
      </c>
      <c r="F508" s="18" t="n">
        <v>2607</v>
      </c>
      <c r="G508" s="18" t="s">
        <v>125</v>
      </c>
      <c r="H508" s="18" t="s">
        <v>290</v>
      </c>
      <c r="I508" s="18" t="s">
        <v>17</v>
      </c>
      <c r="J508" s="18" t="s">
        <v>12</v>
      </c>
      <c r="K508" s="18" t="s">
        <v>13</v>
      </c>
      <c r="L508" s="18" t="s">
        <v>125</v>
      </c>
      <c r="M508" s="18" t="s">
        <v>125</v>
      </c>
      <c r="N508" s="18" t="s">
        <v>125</v>
      </c>
      <c r="O508" s="18"/>
      <c r="P508" s="19" t="n">
        <v>46209.4583333333</v>
      </c>
      <c r="Q508" s="19" t="n">
        <v>46209.8333333333</v>
      </c>
      <c r="R508" s="19" t="n">
        <v>46211.7916666667</v>
      </c>
      <c r="S508" s="20" t="n">
        <f aca="false">ROUND((Q508-P508)*24,4)</f>
        <v>9</v>
      </c>
      <c r="T508" s="18" t="str">
        <f aca="false">TEXT(P508,"YYYY-MM")</f>
        <v>2026-07</v>
      </c>
      <c r="U508" s="18" t="n">
        <f aca="false">RANK(S508,$S$2:$S$670)+COUNTIF($S$2:S508,S508)-1</f>
        <v>160</v>
      </c>
      <c r="V508" s="20" t="n">
        <f aca="false">ROUND((R508-Q508)*24,4)</f>
        <v>47</v>
      </c>
      <c r="W508" s="20" t="n">
        <f aca="false">ROUND((R508-P508)*24,4)</f>
        <v>56</v>
      </c>
      <c r="X508" s="18" t="str">
        <f aca="false">TEXT(P508,"dddd")</f>
        <v>Monday</v>
      </c>
      <c r="Y508" s="18" t="n">
        <f aca="false">HOUR(Q508)</f>
        <v>20</v>
      </c>
    </row>
    <row r="509" customFormat="false" ht="15" hidden="false" customHeight="false" outlineLevel="0" collapsed="false">
      <c r="A509" s="18" t="s">
        <v>39</v>
      </c>
      <c r="B509" s="18" t="s">
        <v>275</v>
      </c>
      <c r="C509" s="18" t="s">
        <v>276</v>
      </c>
      <c r="D509" s="18" t="s">
        <v>46</v>
      </c>
      <c r="E509" s="18" t="s">
        <v>176</v>
      </c>
      <c r="F509" s="18" t="n">
        <v>2610</v>
      </c>
      <c r="G509" s="18" t="s">
        <v>125</v>
      </c>
      <c r="H509" s="18" t="s">
        <v>323</v>
      </c>
      <c r="I509" s="18" t="s">
        <v>21</v>
      </c>
      <c r="J509" s="18" t="s">
        <v>13</v>
      </c>
      <c r="K509" s="18" t="s">
        <v>216</v>
      </c>
      <c r="L509" s="18" t="s">
        <v>144</v>
      </c>
      <c r="M509" s="18" t="s">
        <v>125</v>
      </c>
      <c r="N509" s="18" t="s">
        <v>125</v>
      </c>
      <c r="O509" s="18"/>
      <c r="P509" s="19" t="n">
        <v>46211.2965277778</v>
      </c>
      <c r="Q509" s="19" t="n">
        <v>46211.2972222222</v>
      </c>
      <c r="R509" s="19" t="n">
        <v>46211.2979166667</v>
      </c>
      <c r="S509" s="20" t="n">
        <f aca="false">ROUND((Q509-P509)*24,4)</f>
        <v>0.0167</v>
      </c>
      <c r="T509" s="18" t="str">
        <f aca="false">TEXT(P509,"YYYY-MM")</f>
        <v>2026-07</v>
      </c>
      <c r="U509" s="18" t="n">
        <f aca="false">RANK(S509,$S$2:$S$670)+COUNTIF($S$2:S509,S509)-1</f>
        <v>658</v>
      </c>
      <c r="V509" s="20" t="n">
        <f aca="false">ROUND((R509-Q509)*24,4)</f>
        <v>0.0167</v>
      </c>
      <c r="W509" s="20" t="n">
        <f aca="false">ROUND((R509-P509)*24,4)</f>
        <v>0.0333</v>
      </c>
      <c r="X509" s="18" t="str">
        <f aca="false">TEXT(P509,"dddd")</f>
        <v>Wednesday</v>
      </c>
      <c r="Y509" s="18" t="n">
        <f aca="false">HOUR(Q509)</f>
        <v>7</v>
      </c>
    </row>
    <row r="510" customFormat="false" ht="15" hidden="false" customHeight="false" outlineLevel="0" collapsed="false">
      <c r="A510" s="18" t="s">
        <v>35</v>
      </c>
      <c r="B510" s="18" t="s">
        <v>166</v>
      </c>
      <c r="C510" s="18" t="s">
        <v>167</v>
      </c>
      <c r="D510" s="18" t="s">
        <v>47</v>
      </c>
      <c r="E510" s="18" t="s">
        <v>163</v>
      </c>
      <c r="F510" s="18" t="n">
        <v>2607</v>
      </c>
      <c r="G510" s="18" t="s">
        <v>125</v>
      </c>
      <c r="H510" s="18" t="s">
        <v>290</v>
      </c>
      <c r="I510" s="18" t="s">
        <v>24</v>
      </c>
      <c r="J510" s="18" t="s">
        <v>13</v>
      </c>
      <c r="K510" s="18" t="s">
        <v>186</v>
      </c>
      <c r="L510" s="18" t="s">
        <v>125</v>
      </c>
      <c r="M510" s="18" t="s">
        <v>144</v>
      </c>
      <c r="N510" s="18" t="s">
        <v>125</v>
      </c>
      <c r="O510" s="18"/>
      <c r="P510" s="19" t="n">
        <v>46211.9583333333</v>
      </c>
      <c r="Q510" s="19" t="n">
        <v>46212</v>
      </c>
      <c r="R510" s="19" t="n">
        <v>46212.5</v>
      </c>
      <c r="S510" s="20" t="n">
        <f aca="false">ROUND((Q510-P510)*24,4)</f>
        <v>1</v>
      </c>
      <c r="T510" s="18" t="str">
        <f aca="false">TEXT(P510,"YYYY-MM")</f>
        <v>2026-07</v>
      </c>
      <c r="U510" s="18" t="n">
        <f aca="false">RANK(S510,$S$2:$S$670)+COUNTIF($S$2:S510,S510)-1</f>
        <v>521</v>
      </c>
      <c r="V510" s="20" t="n">
        <f aca="false">ROUND((R510-Q510)*24,4)</f>
        <v>12</v>
      </c>
      <c r="W510" s="20" t="n">
        <f aca="false">ROUND((R510-P510)*24,4)</f>
        <v>13</v>
      </c>
      <c r="X510" s="18" t="str">
        <f aca="false">TEXT(P510,"dddd")</f>
        <v>Wednesday</v>
      </c>
      <c r="Y510" s="18" t="n">
        <f aca="false">HOUR(Q510)</f>
        <v>0</v>
      </c>
    </row>
    <row r="511" customFormat="false" ht="15" hidden="false" customHeight="false" outlineLevel="0" collapsed="false">
      <c r="A511" s="18" t="s">
        <v>33</v>
      </c>
      <c r="B511" s="18" t="s">
        <v>246</v>
      </c>
      <c r="C511" s="18" t="s">
        <v>247</v>
      </c>
      <c r="D511" s="18" t="s">
        <v>51</v>
      </c>
      <c r="E511" s="18" t="s">
        <v>163</v>
      </c>
      <c r="F511" s="18" t="n">
        <v>148</v>
      </c>
      <c r="G511" s="18" t="s">
        <v>127</v>
      </c>
      <c r="H511" s="18" t="s">
        <v>330</v>
      </c>
      <c r="I511" s="18" t="s">
        <v>23</v>
      </c>
      <c r="J511" s="18" t="s">
        <v>13</v>
      </c>
      <c r="K511" s="18" t="s">
        <v>12</v>
      </c>
      <c r="L511" s="18" t="s">
        <v>125</v>
      </c>
      <c r="M511" s="18" t="s">
        <v>125</v>
      </c>
      <c r="N511" s="18" t="s">
        <v>125</v>
      </c>
      <c r="O511" s="18"/>
      <c r="P511" s="19" t="n">
        <v>46211.9583333333</v>
      </c>
      <c r="Q511" s="19" t="n">
        <v>46212</v>
      </c>
      <c r="R511" s="19" t="n">
        <v>46212.3333333333</v>
      </c>
      <c r="S511" s="20" t="n">
        <f aca="false">ROUND((Q511-P511)*24,4)</f>
        <v>1</v>
      </c>
      <c r="T511" s="18" t="str">
        <f aca="false">TEXT(P511,"YYYY-MM")</f>
        <v>2026-07</v>
      </c>
      <c r="U511" s="18" t="n">
        <f aca="false">RANK(S511,$S$2:$S$670)+COUNTIF($S$2:S511,S511)-1</f>
        <v>522</v>
      </c>
      <c r="V511" s="20" t="n">
        <f aca="false">ROUND((R511-Q511)*24,4)</f>
        <v>8</v>
      </c>
      <c r="W511" s="20" t="n">
        <f aca="false">ROUND((R511-P511)*24,4)</f>
        <v>9</v>
      </c>
      <c r="X511" s="18" t="str">
        <f aca="false">TEXT(P511,"dddd")</f>
        <v>Wednesday</v>
      </c>
      <c r="Y511" s="18" t="n">
        <f aca="false">HOUR(Q511)</f>
        <v>0</v>
      </c>
    </row>
    <row r="512" customFormat="false" ht="15" hidden="false" customHeight="false" outlineLevel="0" collapsed="false">
      <c r="A512" s="18" t="s">
        <v>34</v>
      </c>
      <c r="B512" s="18" t="s">
        <v>233</v>
      </c>
      <c r="C512" s="18" t="s">
        <v>234</v>
      </c>
      <c r="D512" s="18" t="s">
        <v>46</v>
      </c>
      <c r="E512" s="18" t="s">
        <v>185</v>
      </c>
      <c r="F512" s="18" t="n">
        <v>2607</v>
      </c>
      <c r="G512" s="18" t="s">
        <v>125</v>
      </c>
      <c r="H512" s="18" t="s">
        <v>290</v>
      </c>
      <c r="I512" s="18" t="s">
        <v>23</v>
      </c>
      <c r="J512" s="18" t="s">
        <v>13</v>
      </c>
      <c r="K512" s="18" t="s">
        <v>165</v>
      </c>
      <c r="L512" s="18" t="s">
        <v>125</v>
      </c>
      <c r="M512" s="18" t="s">
        <v>125</v>
      </c>
      <c r="N512" s="18" t="s">
        <v>125</v>
      </c>
      <c r="O512" s="18"/>
      <c r="P512" s="19" t="n">
        <v>46212</v>
      </c>
      <c r="Q512" s="19" t="n">
        <v>46212.0416666667</v>
      </c>
      <c r="R512" s="19" t="n">
        <v>46212.4166666667</v>
      </c>
      <c r="S512" s="20" t="n">
        <f aca="false">ROUND((Q512-P512)*24,4)</f>
        <v>1</v>
      </c>
      <c r="T512" s="18" t="str">
        <f aca="false">TEXT(P512,"YYYY-MM")</f>
        <v>2026-07</v>
      </c>
      <c r="U512" s="18" t="n">
        <f aca="false">RANK(S512,$S$2:$S$670)+COUNTIF($S$2:S512,S512)-1</f>
        <v>523</v>
      </c>
      <c r="V512" s="20" t="n">
        <f aca="false">ROUND((R512-Q512)*24,4)</f>
        <v>9</v>
      </c>
      <c r="W512" s="20" t="n">
        <f aca="false">ROUND((R512-P512)*24,4)</f>
        <v>10</v>
      </c>
      <c r="X512" s="18" t="str">
        <f aca="false">TEXT(P512,"dddd")</f>
        <v>Thursday</v>
      </c>
      <c r="Y512" s="18" t="n">
        <f aca="false">HOUR(Q512)</f>
        <v>1</v>
      </c>
    </row>
    <row r="513" customFormat="false" ht="15" hidden="false" customHeight="false" outlineLevel="0" collapsed="false">
      <c r="A513" s="18" t="s">
        <v>38</v>
      </c>
      <c r="B513" s="18" t="s">
        <v>211</v>
      </c>
      <c r="C513" s="18" t="s">
        <v>212</v>
      </c>
      <c r="D513" s="18" t="s">
        <v>47</v>
      </c>
      <c r="E513" s="18" t="s">
        <v>163</v>
      </c>
      <c r="F513" s="18" t="n">
        <v>2605</v>
      </c>
      <c r="G513" s="18" t="s">
        <v>127</v>
      </c>
      <c r="H513" s="18" t="s">
        <v>304</v>
      </c>
      <c r="I513" s="18" t="s">
        <v>23</v>
      </c>
      <c r="J513" s="18" t="s">
        <v>13</v>
      </c>
      <c r="K513" s="18" t="s">
        <v>181</v>
      </c>
      <c r="L513" s="18" t="s">
        <v>125</v>
      </c>
      <c r="M513" s="18" t="s">
        <v>125</v>
      </c>
      <c r="N513" s="18" t="s">
        <v>125</v>
      </c>
      <c r="O513" s="18"/>
      <c r="P513" s="19" t="n">
        <v>46212.0208333333</v>
      </c>
      <c r="Q513" s="19" t="n">
        <v>46212.4895833333</v>
      </c>
      <c r="R513" s="19" t="n">
        <v>46213.5791666667</v>
      </c>
      <c r="S513" s="20" t="n">
        <f aca="false">ROUND((Q513-P513)*24,4)</f>
        <v>11.25</v>
      </c>
      <c r="T513" s="18" t="str">
        <f aca="false">TEXT(P513,"YYYY-MM")</f>
        <v>2026-07</v>
      </c>
      <c r="U513" s="18" t="n">
        <f aca="false">RANK(S513,$S$2:$S$670)+COUNTIF($S$2:S513,S513)-1</f>
        <v>123</v>
      </c>
      <c r="V513" s="20" t="n">
        <f aca="false">ROUND((R513-Q513)*24,4)</f>
        <v>26.15</v>
      </c>
      <c r="W513" s="20" t="n">
        <f aca="false">ROUND((R513-P513)*24,4)</f>
        <v>37.4</v>
      </c>
      <c r="X513" s="18" t="str">
        <f aca="false">TEXT(P513,"dddd")</f>
        <v>Thursday</v>
      </c>
      <c r="Y513" s="18" t="n">
        <f aca="false">HOUR(Q513)</f>
        <v>11</v>
      </c>
    </row>
    <row r="514" customFormat="false" ht="15" hidden="false" customHeight="false" outlineLevel="0" collapsed="false">
      <c r="A514" s="18" t="s">
        <v>33</v>
      </c>
      <c r="B514" s="18" t="s">
        <v>246</v>
      </c>
      <c r="C514" s="18" t="s">
        <v>247</v>
      </c>
      <c r="D514" s="18" t="s">
        <v>51</v>
      </c>
      <c r="E514" s="18" t="s">
        <v>176</v>
      </c>
      <c r="F514" s="18" t="n">
        <v>148</v>
      </c>
      <c r="G514" s="18" t="s">
        <v>125</v>
      </c>
      <c r="H514" s="18" t="s">
        <v>331</v>
      </c>
      <c r="I514" s="18" t="s">
        <v>18</v>
      </c>
      <c r="J514" s="18" t="s">
        <v>12</v>
      </c>
      <c r="K514" s="18" t="s">
        <v>13</v>
      </c>
      <c r="L514" s="18" t="s">
        <v>125</v>
      </c>
      <c r="M514" s="18" t="s">
        <v>125</v>
      </c>
      <c r="N514" s="18" t="s">
        <v>125</v>
      </c>
      <c r="O514" s="18"/>
      <c r="P514" s="19" t="n">
        <v>46212.5</v>
      </c>
      <c r="Q514" s="19" t="n">
        <v>46212.5833333333</v>
      </c>
      <c r="R514" s="19" t="n">
        <v>46213.5</v>
      </c>
      <c r="S514" s="20" t="n">
        <f aca="false">ROUND((Q514-P514)*24,4)</f>
        <v>2</v>
      </c>
      <c r="T514" s="18" t="str">
        <f aca="false">TEXT(P514,"YYYY-MM")</f>
        <v>2026-07</v>
      </c>
      <c r="U514" s="18" t="n">
        <f aca="false">RANK(S514,$S$2:$S$670)+COUNTIF($S$2:S514,S514)-1</f>
        <v>339</v>
      </c>
      <c r="V514" s="20" t="n">
        <f aca="false">ROUND((R514-Q514)*24,4)</f>
        <v>22</v>
      </c>
      <c r="W514" s="20" t="n">
        <f aca="false">ROUND((R514-P514)*24,4)</f>
        <v>24</v>
      </c>
      <c r="X514" s="18" t="str">
        <f aca="false">TEXT(P514,"dddd")</f>
        <v>Thursday</v>
      </c>
      <c r="Y514" s="18" t="n">
        <f aca="false">HOUR(Q514)</f>
        <v>14</v>
      </c>
    </row>
    <row r="515" customFormat="false" ht="15" hidden="false" customHeight="false" outlineLevel="0" collapsed="false">
      <c r="A515" s="18" t="s">
        <v>37</v>
      </c>
      <c r="B515" s="18" t="s">
        <v>208</v>
      </c>
      <c r="C515" s="18" t="s">
        <v>209</v>
      </c>
      <c r="D515" s="18" t="s">
        <v>46</v>
      </c>
      <c r="E515" s="18" t="s">
        <v>163</v>
      </c>
      <c r="F515" s="18" t="n">
        <v>2606</v>
      </c>
      <c r="G515" s="18" t="s">
        <v>127</v>
      </c>
      <c r="H515" s="18" t="s">
        <v>269</v>
      </c>
      <c r="I515" s="18" t="s">
        <v>20</v>
      </c>
      <c r="J515" s="18" t="s">
        <v>13</v>
      </c>
      <c r="K515" s="18" t="s">
        <v>12</v>
      </c>
      <c r="L515" s="18" t="s">
        <v>125</v>
      </c>
      <c r="M515" s="18" t="s">
        <v>125</v>
      </c>
      <c r="N515" s="18" t="s">
        <v>125</v>
      </c>
      <c r="O515" s="18"/>
      <c r="P515" s="19" t="n">
        <v>46212.5458333333</v>
      </c>
      <c r="Q515" s="19" t="n">
        <v>46212.5458333333</v>
      </c>
      <c r="R515" s="19" t="n">
        <v>46212.9</v>
      </c>
      <c r="S515" s="20" t="n">
        <f aca="false">ROUND((Q515-P515)*24,4)</f>
        <v>0</v>
      </c>
      <c r="T515" s="18" t="str">
        <f aca="false">TEXT(P515,"YYYY-MM")</f>
        <v>2026-07</v>
      </c>
      <c r="U515" s="18" t="n">
        <f aca="false">RANK(S515,$S$2:$S$670)+COUNTIF($S$2:S515,S515)-1</f>
        <v>667</v>
      </c>
      <c r="V515" s="20" t="n">
        <f aca="false">ROUND((R515-Q515)*24,4)</f>
        <v>8.5</v>
      </c>
      <c r="W515" s="20" t="n">
        <f aca="false">ROUND((R515-P515)*24,4)</f>
        <v>8.5</v>
      </c>
      <c r="X515" s="18" t="str">
        <f aca="false">TEXT(P515,"dddd")</f>
        <v>Thursday</v>
      </c>
      <c r="Y515" s="18" t="n">
        <f aca="false">HOUR(Q515)</f>
        <v>13</v>
      </c>
    </row>
    <row r="516" customFormat="false" ht="15" hidden="false" customHeight="false" outlineLevel="0" collapsed="false">
      <c r="A516" s="18" t="s">
        <v>37</v>
      </c>
      <c r="B516" s="18" t="s">
        <v>208</v>
      </c>
      <c r="C516" s="18" t="s">
        <v>209</v>
      </c>
      <c r="D516" s="18" t="s">
        <v>46</v>
      </c>
      <c r="E516" s="18" t="s">
        <v>176</v>
      </c>
      <c r="F516" s="18" t="n">
        <v>2606</v>
      </c>
      <c r="G516" s="18" t="s">
        <v>125</v>
      </c>
      <c r="H516" s="18" t="s">
        <v>270</v>
      </c>
      <c r="I516" s="18" t="s">
        <v>19</v>
      </c>
      <c r="J516" s="18" t="s">
        <v>12</v>
      </c>
      <c r="K516" s="18" t="s">
        <v>13</v>
      </c>
      <c r="L516" s="18" t="s">
        <v>125</v>
      </c>
      <c r="M516" s="18" t="s">
        <v>125</v>
      </c>
      <c r="N516" s="18" t="s">
        <v>125</v>
      </c>
      <c r="O516" s="18"/>
      <c r="P516" s="19" t="n">
        <v>46212.9791666667</v>
      </c>
      <c r="Q516" s="19" t="n">
        <v>46213.9833333333</v>
      </c>
      <c r="R516" s="19" t="n">
        <v>46215.5875</v>
      </c>
      <c r="S516" s="20" t="n">
        <f aca="false">ROUND((Q516-P516)*24,4)</f>
        <v>24.1</v>
      </c>
      <c r="T516" s="18" t="str">
        <f aca="false">TEXT(P516,"YYYY-MM")</f>
        <v>2026-07</v>
      </c>
      <c r="U516" s="18" t="n">
        <f aca="false">RANK(S516,$S$2:$S$670)+COUNTIF($S$2:S516,S516)-1</f>
        <v>34</v>
      </c>
      <c r="V516" s="20" t="n">
        <f aca="false">ROUND((R516-Q516)*24,4)</f>
        <v>38.5</v>
      </c>
      <c r="W516" s="20" t="n">
        <f aca="false">ROUND((R516-P516)*24,4)</f>
        <v>62.6</v>
      </c>
      <c r="X516" s="18" t="str">
        <f aca="false">TEXT(P516,"dddd")</f>
        <v>Thursday</v>
      </c>
      <c r="Y516" s="18" t="n">
        <f aca="false">HOUR(Q516)</f>
        <v>23</v>
      </c>
    </row>
    <row r="517" customFormat="false" ht="15" hidden="false" customHeight="false" outlineLevel="0" collapsed="false">
      <c r="A517" s="18" t="s">
        <v>33</v>
      </c>
      <c r="B517" s="18" t="s">
        <v>246</v>
      </c>
      <c r="C517" s="18" t="s">
        <v>247</v>
      </c>
      <c r="D517" s="18" t="s">
        <v>51</v>
      </c>
      <c r="E517" s="18" t="s">
        <v>185</v>
      </c>
      <c r="F517" s="18" t="n">
        <v>148</v>
      </c>
      <c r="G517" s="18" t="s">
        <v>125</v>
      </c>
      <c r="H517" s="18" t="s">
        <v>331</v>
      </c>
      <c r="I517" s="18" t="s">
        <v>23</v>
      </c>
      <c r="J517" s="18" t="s">
        <v>13</v>
      </c>
      <c r="K517" s="18" t="s">
        <v>165</v>
      </c>
      <c r="L517" s="18" t="s">
        <v>125</v>
      </c>
      <c r="M517" s="18" t="s">
        <v>125</v>
      </c>
      <c r="N517" s="18" t="s">
        <v>125</v>
      </c>
      <c r="O517" s="18"/>
      <c r="P517" s="19" t="n">
        <v>46213.6666666667</v>
      </c>
      <c r="Q517" s="19" t="n">
        <v>46213.8333333333</v>
      </c>
      <c r="R517" s="19" t="n">
        <v>46214.1666666667</v>
      </c>
      <c r="S517" s="20" t="n">
        <f aca="false">ROUND((Q517-P517)*24,4)</f>
        <v>4</v>
      </c>
      <c r="T517" s="18" t="str">
        <f aca="false">TEXT(P517,"YYYY-MM")</f>
        <v>2026-07</v>
      </c>
      <c r="U517" s="18" t="n">
        <f aca="false">RANK(S517,$S$2:$S$670)+COUNTIF($S$2:S517,S517)-1</f>
        <v>255</v>
      </c>
      <c r="V517" s="20" t="n">
        <f aca="false">ROUND((R517-Q517)*24,4)</f>
        <v>8</v>
      </c>
      <c r="W517" s="20" t="n">
        <f aca="false">ROUND((R517-P517)*24,4)</f>
        <v>12</v>
      </c>
      <c r="X517" s="18" t="str">
        <f aca="false">TEXT(P517,"dddd")</f>
        <v>Friday</v>
      </c>
      <c r="Y517" s="18" t="n">
        <f aca="false">HOUR(Q517)</f>
        <v>20</v>
      </c>
    </row>
    <row r="518" customFormat="false" ht="15" hidden="false" customHeight="false" outlineLevel="0" collapsed="false">
      <c r="A518" s="18" t="s">
        <v>34</v>
      </c>
      <c r="B518" s="18" t="s">
        <v>240</v>
      </c>
      <c r="C518" s="18" t="s">
        <v>241</v>
      </c>
      <c r="D518" s="18" t="s">
        <v>50</v>
      </c>
      <c r="E518" s="18" t="s">
        <v>163</v>
      </c>
      <c r="F518" s="18" t="n">
        <v>2608</v>
      </c>
      <c r="G518" s="18" t="s">
        <v>127</v>
      </c>
      <c r="H518" s="18" t="s">
        <v>301</v>
      </c>
      <c r="I518" s="18" t="s">
        <v>23</v>
      </c>
      <c r="J518" s="18" t="s">
        <v>13</v>
      </c>
      <c r="K518" s="18" t="s">
        <v>12</v>
      </c>
      <c r="L518" s="18" t="s">
        <v>125</v>
      </c>
      <c r="M518" s="18" t="s">
        <v>125</v>
      </c>
      <c r="N518" s="18" t="s">
        <v>125</v>
      </c>
      <c r="O518" s="18"/>
      <c r="P518" s="19" t="n">
        <v>46214.125</v>
      </c>
      <c r="Q518" s="19" t="n">
        <v>46214.2083333333</v>
      </c>
      <c r="R518" s="19" t="n">
        <v>46214.5833333333</v>
      </c>
      <c r="S518" s="20" t="n">
        <f aca="false">ROUND((Q518-P518)*24,4)</f>
        <v>2</v>
      </c>
      <c r="T518" s="18" t="str">
        <f aca="false">TEXT(P518,"YYYY-MM")</f>
        <v>2026-07</v>
      </c>
      <c r="U518" s="18" t="n">
        <f aca="false">RANK(S518,$S$2:$S$670)+COUNTIF($S$2:S518,S518)-1</f>
        <v>340</v>
      </c>
      <c r="V518" s="20" t="n">
        <f aca="false">ROUND((R518-Q518)*24,4)</f>
        <v>9</v>
      </c>
      <c r="W518" s="20" t="n">
        <f aca="false">ROUND((R518-P518)*24,4)</f>
        <v>11</v>
      </c>
      <c r="X518" s="18" t="str">
        <f aca="false">TEXT(P518,"dddd")</f>
        <v>Saturday</v>
      </c>
      <c r="Y518" s="18" t="n">
        <f aca="false">HOUR(Q518)</f>
        <v>5</v>
      </c>
    </row>
    <row r="519" customFormat="false" ht="15" hidden="false" customHeight="false" outlineLevel="0" collapsed="false">
      <c r="A519" s="18" t="s">
        <v>34</v>
      </c>
      <c r="B519" s="18" t="s">
        <v>240</v>
      </c>
      <c r="C519" s="18" t="s">
        <v>241</v>
      </c>
      <c r="D519" s="18" t="s">
        <v>50</v>
      </c>
      <c r="E519" s="18" t="s">
        <v>176</v>
      </c>
      <c r="F519" s="18" t="n">
        <v>2608</v>
      </c>
      <c r="G519" s="18" t="s">
        <v>125</v>
      </c>
      <c r="H519" s="18" t="s">
        <v>302</v>
      </c>
      <c r="I519" s="18" t="s">
        <v>17</v>
      </c>
      <c r="J519" s="18" t="s">
        <v>12</v>
      </c>
      <c r="K519" s="18" t="s">
        <v>13</v>
      </c>
      <c r="L519" s="18" t="s">
        <v>125</v>
      </c>
      <c r="M519" s="18" t="s">
        <v>125</v>
      </c>
      <c r="N519" s="18" t="s">
        <v>125</v>
      </c>
      <c r="O519" s="18"/>
      <c r="P519" s="19" t="n">
        <v>46214.6666666667</v>
      </c>
      <c r="Q519" s="19" t="n">
        <v>46214.7875</v>
      </c>
      <c r="R519" s="19" t="n">
        <v>46216.625</v>
      </c>
      <c r="S519" s="20" t="n">
        <f aca="false">ROUND((Q519-P519)*24,4)</f>
        <v>2.9</v>
      </c>
      <c r="T519" s="18" t="str">
        <f aca="false">TEXT(P519,"YYYY-MM")</f>
        <v>2026-07</v>
      </c>
      <c r="U519" s="18" t="n">
        <f aca="false">RANK(S519,$S$2:$S$670)+COUNTIF($S$2:S519,S519)-1</f>
        <v>300</v>
      </c>
      <c r="V519" s="20" t="n">
        <f aca="false">ROUND((R519-Q519)*24,4)</f>
        <v>44.1</v>
      </c>
      <c r="W519" s="20" t="n">
        <f aca="false">ROUND((R519-P519)*24,4)</f>
        <v>47</v>
      </c>
      <c r="X519" s="18" t="str">
        <f aca="false">TEXT(P519,"dddd")</f>
        <v>Saturday</v>
      </c>
      <c r="Y519" s="18" t="n">
        <f aca="false">HOUR(Q519)</f>
        <v>18</v>
      </c>
    </row>
    <row r="520" customFormat="false" ht="15" hidden="false" customHeight="false" outlineLevel="0" collapsed="false">
      <c r="A520" s="18" t="s">
        <v>35</v>
      </c>
      <c r="B520" s="18" t="s">
        <v>199</v>
      </c>
      <c r="C520" s="18" t="s">
        <v>200</v>
      </c>
      <c r="D520" s="18" t="s">
        <v>46</v>
      </c>
      <c r="E520" s="18" t="s">
        <v>198</v>
      </c>
      <c r="F520" s="18" t="n">
        <v>2607</v>
      </c>
      <c r="G520" s="18" t="s">
        <v>127</v>
      </c>
      <c r="H520" s="18" t="s">
        <v>289</v>
      </c>
      <c r="I520" s="18" t="s">
        <v>24</v>
      </c>
      <c r="J520" s="18" t="s">
        <v>13</v>
      </c>
      <c r="K520" s="18" t="s">
        <v>12</v>
      </c>
      <c r="L520" s="18" t="s">
        <v>125</v>
      </c>
      <c r="M520" s="18" t="s">
        <v>125</v>
      </c>
      <c r="N520" s="18" t="s">
        <v>125</v>
      </c>
      <c r="O520" s="18"/>
      <c r="P520" s="19" t="n">
        <v>46214.9583333333</v>
      </c>
      <c r="Q520" s="19" t="n">
        <v>46215</v>
      </c>
      <c r="R520" s="19" t="n">
        <v>46215.3333333333</v>
      </c>
      <c r="S520" s="20" t="n">
        <f aca="false">ROUND((Q520-P520)*24,4)</f>
        <v>1</v>
      </c>
      <c r="T520" s="18" t="str">
        <f aca="false">TEXT(P520,"YYYY-MM")</f>
        <v>2026-07</v>
      </c>
      <c r="U520" s="18" t="n">
        <f aca="false">RANK(S520,$S$2:$S$670)+COUNTIF($S$2:S520,S520)-1</f>
        <v>524</v>
      </c>
      <c r="V520" s="20" t="n">
        <f aca="false">ROUND((R520-Q520)*24,4)</f>
        <v>8</v>
      </c>
      <c r="W520" s="20" t="n">
        <f aca="false">ROUND((R520-P520)*24,4)</f>
        <v>9</v>
      </c>
      <c r="X520" s="18" t="str">
        <f aca="false">TEXT(P520,"dddd")</f>
        <v>Saturday</v>
      </c>
      <c r="Y520" s="18" t="n">
        <f aca="false">HOUR(Q520)</f>
        <v>0</v>
      </c>
    </row>
    <row r="521" customFormat="false" ht="15" hidden="false" customHeight="false" outlineLevel="0" collapsed="false">
      <c r="A521" s="18" t="s">
        <v>35</v>
      </c>
      <c r="B521" s="18" t="s">
        <v>199</v>
      </c>
      <c r="C521" s="18" t="s">
        <v>200</v>
      </c>
      <c r="D521" s="18" t="s">
        <v>46</v>
      </c>
      <c r="E521" s="18" t="s">
        <v>168</v>
      </c>
      <c r="F521" s="18" t="n">
        <v>2607</v>
      </c>
      <c r="G521" s="18" t="s">
        <v>125</v>
      </c>
      <c r="H521" s="18" t="s">
        <v>290</v>
      </c>
      <c r="I521" s="18" t="s">
        <v>19</v>
      </c>
      <c r="J521" s="18" t="s">
        <v>12</v>
      </c>
      <c r="K521" s="18" t="s">
        <v>13</v>
      </c>
      <c r="L521" s="18" t="s">
        <v>125</v>
      </c>
      <c r="M521" s="18" t="s">
        <v>125</v>
      </c>
      <c r="N521" s="18" t="s">
        <v>125</v>
      </c>
      <c r="O521" s="18"/>
      <c r="P521" s="19" t="n">
        <v>46215.4166666667</v>
      </c>
      <c r="Q521" s="19" t="n">
        <v>46215.7916666667</v>
      </c>
      <c r="R521" s="19" t="n">
        <v>46217.625</v>
      </c>
      <c r="S521" s="20" t="n">
        <f aca="false">ROUND((Q521-P521)*24,4)</f>
        <v>9</v>
      </c>
      <c r="T521" s="18" t="str">
        <f aca="false">TEXT(P521,"YYYY-MM")</f>
        <v>2026-07</v>
      </c>
      <c r="U521" s="18" t="n">
        <f aca="false">RANK(S521,$S$2:$S$670)+COUNTIF($S$2:S521,S521)-1</f>
        <v>161</v>
      </c>
      <c r="V521" s="20" t="n">
        <f aca="false">ROUND((R521-Q521)*24,4)</f>
        <v>44</v>
      </c>
      <c r="W521" s="20" t="n">
        <f aca="false">ROUND((R521-P521)*24,4)</f>
        <v>53</v>
      </c>
      <c r="X521" s="18" t="str">
        <f aca="false">TEXT(P521,"dddd")</f>
        <v>Sunday</v>
      </c>
      <c r="Y521" s="18" t="n">
        <f aca="false">HOUR(Q521)</f>
        <v>19</v>
      </c>
    </row>
    <row r="522" customFormat="false" ht="15" hidden="false" customHeight="false" outlineLevel="0" collapsed="false">
      <c r="A522" s="18" t="s">
        <v>33</v>
      </c>
      <c r="B522" s="18" t="s">
        <v>174</v>
      </c>
      <c r="C522" s="18" t="s">
        <v>175</v>
      </c>
      <c r="D522" s="18" t="s">
        <v>49</v>
      </c>
      <c r="E522" s="18" t="s">
        <v>163</v>
      </c>
      <c r="F522" s="18" t="n">
        <v>2608</v>
      </c>
      <c r="G522" s="18" t="s">
        <v>127</v>
      </c>
      <c r="H522" s="18" t="s">
        <v>301</v>
      </c>
      <c r="I522" s="18" t="s">
        <v>23</v>
      </c>
      <c r="J522" s="18" t="s">
        <v>13</v>
      </c>
      <c r="K522" s="18" t="s">
        <v>12</v>
      </c>
      <c r="L522" s="18" t="s">
        <v>125</v>
      </c>
      <c r="M522" s="18" t="s">
        <v>125</v>
      </c>
      <c r="N522" s="18" t="s">
        <v>125</v>
      </c>
      <c r="O522" s="18"/>
      <c r="P522" s="19" t="n">
        <v>46215.7916666667</v>
      </c>
      <c r="Q522" s="19" t="n">
        <v>46215.8333333333</v>
      </c>
      <c r="R522" s="19" t="n">
        <v>46216.1666666667</v>
      </c>
      <c r="S522" s="20" t="n">
        <f aca="false">ROUND((Q522-P522)*24,4)</f>
        <v>1</v>
      </c>
      <c r="T522" s="18" t="str">
        <f aca="false">TEXT(P522,"YYYY-MM")</f>
        <v>2026-07</v>
      </c>
      <c r="U522" s="18" t="n">
        <f aca="false">RANK(S522,$S$2:$S$670)+COUNTIF($S$2:S522,S522)-1</f>
        <v>525</v>
      </c>
      <c r="V522" s="20" t="n">
        <f aca="false">ROUND((R522-Q522)*24,4)</f>
        <v>8</v>
      </c>
      <c r="W522" s="20" t="n">
        <f aca="false">ROUND((R522-P522)*24,4)</f>
        <v>9</v>
      </c>
      <c r="X522" s="18" t="str">
        <f aca="false">TEXT(P522,"dddd")</f>
        <v>Sunday</v>
      </c>
      <c r="Y522" s="18" t="n">
        <f aca="false">HOUR(Q522)</f>
        <v>20</v>
      </c>
    </row>
    <row r="523" customFormat="false" ht="15" hidden="false" customHeight="false" outlineLevel="0" collapsed="false">
      <c r="A523" s="18" t="s">
        <v>37</v>
      </c>
      <c r="B523" s="18" t="s">
        <v>208</v>
      </c>
      <c r="C523" s="18" t="s">
        <v>209</v>
      </c>
      <c r="D523" s="18" t="s">
        <v>46</v>
      </c>
      <c r="E523" s="18" t="s">
        <v>185</v>
      </c>
      <c r="F523" s="18" t="n">
        <v>2606</v>
      </c>
      <c r="G523" s="18" t="s">
        <v>125</v>
      </c>
      <c r="H523" s="18" t="s">
        <v>270</v>
      </c>
      <c r="I523" s="18" t="s">
        <v>20</v>
      </c>
      <c r="J523" s="18" t="s">
        <v>13</v>
      </c>
      <c r="K523" s="18" t="s">
        <v>165</v>
      </c>
      <c r="L523" s="18" t="s">
        <v>125</v>
      </c>
      <c r="M523" s="18" t="s">
        <v>125</v>
      </c>
      <c r="N523" s="18" t="s">
        <v>125</v>
      </c>
      <c r="O523" s="18"/>
      <c r="P523" s="19" t="n">
        <v>46215.7916666667</v>
      </c>
      <c r="Q523" s="19" t="n">
        <v>46215.7916666667</v>
      </c>
      <c r="R523" s="19" t="n">
        <v>46216.25</v>
      </c>
      <c r="S523" s="20" t="n">
        <f aca="false">ROUND((Q523-P523)*24,4)</f>
        <v>0</v>
      </c>
      <c r="T523" s="18" t="str">
        <f aca="false">TEXT(P523,"YYYY-MM")</f>
        <v>2026-07</v>
      </c>
      <c r="U523" s="18" t="n">
        <f aca="false">RANK(S523,$S$2:$S$670)+COUNTIF($S$2:S523,S523)-1</f>
        <v>668</v>
      </c>
      <c r="V523" s="20" t="n">
        <f aca="false">ROUND((R523-Q523)*24,4)</f>
        <v>11</v>
      </c>
      <c r="W523" s="20" t="n">
        <f aca="false">ROUND((R523-P523)*24,4)</f>
        <v>11</v>
      </c>
      <c r="X523" s="18" t="str">
        <f aca="false">TEXT(P523,"dddd")</f>
        <v>Sunday</v>
      </c>
      <c r="Y523" s="18" t="n">
        <f aca="false">HOUR(Q523)</f>
        <v>19</v>
      </c>
    </row>
    <row r="524" customFormat="false" ht="15" hidden="false" customHeight="false" outlineLevel="0" collapsed="false">
      <c r="A524" s="18" t="s">
        <v>33</v>
      </c>
      <c r="B524" s="18" t="s">
        <v>174</v>
      </c>
      <c r="C524" s="18" t="s">
        <v>175</v>
      </c>
      <c r="D524" s="18" t="s">
        <v>49</v>
      </c>
      <c r="E524" s="18" t="s">
        <v>176</v>
      </c>
      <c r="F524" s="18" t="n">
        <v>2608</v>
      </c>
      <c r="G524" s="18" t="s">
        <v>125</v>
      </c>
      <c r="H524" s="18" t="s">
        <v>302</v>
      </c>
      <c r="I524" s="18" t="s">
        <v>18</v>
      </c>
      <c r="J524" s="18" t="s">
        <v>12</v>
      </c>
      <c r="K524" s="18" t="s">
        <v>13</v>
      </c>
      <c r="L524" s="18" t="s">
        <v>125</v>
      </c>
      <c r="M524" s="18" t="s">
        <v>125</v>
      </c>
      <c r="N524" s="18" t="s">
        <v>125</v>
      </c>
      <c r="O524" s="18"/>
      <c r="P524" s="19" t="n">
        <v>46216.2916666667</v>
      </c>
      <c r="Q524" s="19" t="n">
        <v>46216.6666666667</v>
      </c>
      <c r="R524" s="19" t="n">
        <v>46217.625</v>
      </c>
      <c r="S524" s="20" t="n">
        <f aca="false">ROUND((Q524-P524)*24,4)</f>
        <v>9</v>
      </c>
      <c r="T524" s="18" t="str">
        <f aca="false">TEXT(P524,"YYYY-MM")</f>
        <v>2026-07</v>
      </c>
      <c r="U524" s="18" t="n">
        <f aca="false">RANK(S524,$S$2:$S$670)+COUNTIF($S$2:S524,S524)-1</f>
        <v>162</v>
      </c>
      <c r="V524" s="20" t="n">
        <f aca="false">ROUND((R524-Q524)*24,4)</f>
        <v>23</v>
      </c>
      <c r="W524" s="20" t="n">
        <f aca="false">ROUND((R524-P524)*24,4)</f>
        <v>32</v>
      </c>
      <c r="X524" s="18" t="str">
        <f aca="false">TEXT(P524,"dddd")</f>
        <v>Monday</v>
      </c>
      <c r="Y524" s="18" t="n">
        <f aca="false">HOUR(Q524)</f>
        <v>16</v>
      </c>
    </row>
    <row r="525" customFormat="false" ht="15" hidden="false" customHeight="false" outlineLevel="0" collapsed="false">
      <c r="A525" s="18" t="s">
        <v>36</v>
      </c>
      <c r="B525" s="18" t="s">
        <v>306</v>
      </c>
      <c r="C525" s="18" t="s">
        <v>307</v>
      </c>
      <c r="D525" s="18" t="s">
        <v>47</v>
      </c>
      <c r="E525" s="18" t="s">
        <v>168</v>
      </c>
      <c r="F525" s="18" t="n">
        <v>2608</v>
      </c>
      <c r="G525" s="18" t="s">
        <v>127</v>
      </c>
      <c r="H525" s="18" t="s">
        <v>301</v>
      </c>
      <c r="I525" s="18" t="s">
        <v>23</v>
      </c>
      <c r="J525" s="18" t="s">
        <v>13</v>
      </c>
      <c r="K525" s="18" t="s">
        <v>12</v>
      </c>
      <c r="L525" s="18" t="s">
        <v>125</v>
      </c>
      <c r="M525" s="18" t="s">
        <v>125</v>
      </c>
      <c r="N525" s="18" t="s">
        <v>125</v>
      </c>
      <c r="O525" s="18"/>
      <c r="P525" s="19" t="n">
        <v>46216.5416666667</v>
      </c>
      <c r="Q525" s="19" t="n">
        <v>46216.5833333333</v>
      </c>
      <c r="R525" s="19" t="n">
        <v>46216.8541666667</v>
      </c>
      <c r="S525" s="20" t="n">
        <f aca="false">ROUND((Q525-P525)*24,4)</f>
        <v>1</v>
      </c>
      <c r="T525" s="18" t="str">
        <f aca="false">TEXT(P525,"YYYY-MM")</f>
        <v>2026-07</v>
      </c>
      <c r="U525" s="18" t="n">
        <f aca="false">RANK(S525,$S$2:$S$670)+COUNTIF($S$2:S525,S525)-1</f>
        <v>526</v>
      </c>
      <c r="V525" s="20" t="n">
        <f aca="false">ROUND((R525-Q525)*24,4)</f>
        <v>6.5</v>
      </c>
      <c r="W525" s="20" t="n">
        <f aca="false">ROUND((R525-P525)*24,4)</f>
        <v>7.5</v>
      </c>
      <c r="X525" s="18" t="str">
        <f aca="false">TEXT(P525,"dddd")</f>
        <v>Monday</v>
      </c>
      <c r="Y525" s="18" t="n">
        <f aca="false">HOUR(Q525)</f>
        <v>14</v>
      </c>
    </row>
    <row r="526" customFormat="false" ht="15" hidden="false" customHeight="false" outlineLevel="0" collapsed="false">
      <c r="A526" s="18" t="s">
        <v>34</v>
      </c>
      <c r="B526" s="18" t="s">
        <v>240</v>
      </c>
      <c r="C526" s="18" t="s">
        <v>241</v>
      </c>
      <c r="D526" s="18" t="s">
        <v>50</v>
      </c>
      <c r="E526" s="18" t="s">
        <v>185</v>
      </c>
      <c r="F526" s="18" t="n">
        <v>2608</v>
      </c>
      <c r="G526" s="18" t="s">
        <v>125</v>
      </c>
      <c r="H526" s="18" t="s">
        <v>302</v>
      </c>
      <c r="I526" s="18" t="s">
        <v>23</v>
      </c>
      <c r="J526" s="18" t="s">
        <v>13</v>
      </c>
      <c r="K526" s="18" t="s">
        <v>165</v>
      </c>
      <c r="L526" s="18" t="s">
        <v>125</v>
      </c>
      <c r="M526" s="18" t="s">
        <v>125</v>
      </c>
      <c r="N526" s="18" t="s">
        <v>125</v>
      </c>
      <c r="O526" s="18"/>
      <c r="P526" s="19" t="n">
        <v>46216.8333333333</v>
      </c>
      <c r="Q526" s="19" t="n">
        <v>46217.2083333333</v>
      </c>
      <c r="R526" s="19" t="n">
        <v>46217.5833333333</v>
      </c>
      <c r="S526" s="20" t="n">
        <f aca="false">ROUND((Q526-P526)*24,4)</f>
        <v>9</v>
      </c>
      <c r="T526" s="18" t="str">
        <f aca="false">TEXT(P526,"YYYY-MM")</f>
        <v>2026-07</v>
      </c>
      <c r="U526" s="18" t="n">
        <f aca="false">RANK(S526,$S$2:$S$670)+COUNTIF($S$2:S526,S526)-1</f>
        <v>163</v>
      </c>
      <c r="V526" s="20" t="n">
        <f aca="false">ROUND((R526-Q526)*24,4)</f>
        <v>9</v>
      </c>
      <c r="W526" s="20" t="n">
        <f aca="false">ROUND((R526-P526)*24,4)</f>
        <v>18</v>
      </c>
      <c r="X526" s="18" t="str">
        <f aca="false">TEXT(P526,"dddd")</f>
        <v>Monday</v>
      </c>
      <c r="Y526" s="18" t="n">
        <f aca="false">HOUR(Q526)</f>
        <v>5</v>
      </c>
    </row>
    <row r="527" customFormat="false" ht="15" hidden="false" customHeight="false" outlineLevel="0" collapsed="false">
      <c r="A527" s="18" t="s">
        <v>36</v>
      </c>
      <c r="B527" s="18" t="s">
        <v>306</v>
      </c>
      <c r="C527" s="18" t="s">
        <v>307</v>
      </c>
      <c r="D527" s="18" t="s">
        <v>47</v>
      </c>
      <c r="E527" s="18" t="s">
        <v>163</v>
      </c>
      <c r="F527" s="18" t="n">
        <v>2608</v>
      </c>
      <c r="G527" s="18" t="s">
        <v>125</v>
      </c>
      <c r="H527" s="18" t="s">
        <v>302</v>
      </c>
      <c r="I527" s="18" t="s">
        <v>17</v>
      </c>
      <c r="J527" s="18" t="s">
        <v>12</v>
      </c>
      <c r="K527" s="18" t="s">
        <v>13</v>
      </c>
      <c r="L527" s="18" t="s">
        <v>125</v>
      </c>
      <c r="M527" s="18" t="s">
        <v>125</v>
      </c>
      <c r="N527" s="18" t="s">
        <v>125</v>
      </c>
      <c r="O527" s="18"/>
      <c r="P527" s="19" t="n">
        <v>46216.9583333333</v>
      </c>
      <c r="Q527" s="19" t="n">
        <v>46217.0833333333</v>
      </c>
      <c r="R527" s="19" t="n">
        <v>46218.6666666667</v>
      </c>
      <c r="S527" s="20" t="n">
        <f aca="false">ROUND((Q527-P527)*24,4)</f>
        <v>3</v>
      </c>
      <c r="T527" s="18" t="str">
        <f aca="false">TEXT(P527,"YYYY-MM")</f>
        <v>2026-07</v>
      </c>
      <c r="U527" s="18" t="n">
        <f aca="false">RANK(S527,$S$2:$S$670)+COUNTIF($S$2:S527,S527)-1</f>
        <v>290</v>
      </c>
      <c r="V527" s="20" t="n">
        <f aca="false">ROUND((R527-Q527)*24,4)</f>
        <v>38</v>
      </c>
      <c r="W527" s="20" t="n">
        <f aca="false">ROUND((R527-P527)*24,4)</f>
        <v>41</v>
      </c>
      <c r="X527" s="18" t="str">
        <f aca="false">TEXT(P527,"dddd")</f>
        <v>Monday</v>
      </c>
      <c r="Y527" s="18" t="n">
        <f aca="false">HOUR(Q527)</f>
        <v>2</v>
      </c>
    </row>
    <row r="528" customFormat="false" ht="15" hidden="false" customHeight="false" outlineLevel="0" collapsed="false">
      <c r="A528" s="18" t="s">
        <v>32</v>
      </c>
      <c r="B528" s="18" t="s">
        <v>182</v>
      </c>
      <c r="C528" s="18" t="s">
        <v>183</v>
      </c>
      <c r="D528" s="18" t="s">
        <v>48</v>
      </c>
      <c r="E528" s="18" t="s">
        <v>168</v>
      </c>
      <c r="F528" s="18" t="n">
        <v>2608</v>
      </c>
      <c r="G528" s="18" t="s">
        <v>127</v>
      </c>
      <c r="H528" s="18" t="s">
        <v>301</v>
      </c>
      <c r="I528" s="18" t="s">
        <v>23</v>
      </c>
      <c r="J528" s="18" t="s">
        <v>13</v>
      </c>
      <c r="K528" s="18" t="s">
        <v>12</v>
      </c>
      <c r="L528" s="18" t="s">
        <v>125</v>
      </c>
      <c r="M528" s="18" t="s">
        <v>125</v>
      </c>
      <c r="N528" s="18" t="s">
        <v>125</v>
      </c>
      <c r="O528" s="18"/>
      <c r="P528" s="19" t="n">
        <v>46217.625</v>
      </c>
      <c r="Q528" s="19" t="n">
        <v>46217.6666666667</v>
      </c>
      <c r="R528" s="19" t="n">
        <v>46218</v>
      </c>
      <c r="S528" s="20" t="n">
        <f aca="false">ROUND((Q528-P528)*24,4)</f>
        <v>1</v>
      </c>
      <c r="T528" s="18" t="str">
        <f aca="false">TEXT(P528,"YYYY-MM")</f>
        <v>2026-07</v>
      </c>
      <c r="U528" s="18" t="n">
        <f aca="false">RANK(S528,$S$2:$S$670)+COUNTIF($S$2:S528,S528)-1</f>
        <v>527</v>
      </c>
      <c r="V528" s="20" t="n">
        <f aca="false">ROUND((R528-Q528)*24,4)</f>
        <v>8</v>
      </c>
      <c r="W528" s="20" t="n">
        <f aca="false">ROUND((R528-P528)*24,4)</f>
        <v>9</v>
      </c>
      <c r="X528" s="18" t="str">
        <f aca="false">TEXT(P528,"dddd")</f>
        <v>Tuesday</v>
      </c>
      <c r="Y528" s="18" t="n">
        <f aca="false">HOUR(Q528)</f>
        <v>16</v>
      </c>
    </row>
    <row r="529" customFormat="false" ht="15" hidden="false" customHeight="false" outlineLevel="0" collapsed="false">
      <c r="A529" s="18" t="s">
        <v>33</v>
      </c>
      <c r="B529" s="18" t="s">
        <v>174</v>
      </c>
      <c r="C529" s="18" t="s">
        <v>175</v>
      </c>
      <c r="D529" s="18" t="s">
        <v>49</v>
      </c>
      <c r="E529" s="18" t="s">
        <v>185</v>
      </c>
      <c r="F529" s="18" t="n">
        <v>2608</v>
      </c>
      <c r="G529" s="18" t="s">
        <v>125</v>
      </c>
      <c r="H529" s="18" t="s">
        <v>302</v>
      </c>
      <c r="I529" s="18" t="s">
        <v>23</v>
      </c>
      <c r="J529" s="18" t="s">
        <v>13</v>
      </c>
      <c r="K529" s="18" t="s">
        <v>165</v>
      </c>
      <c r="L529" s="18" t="s">
        <v>125</v>
      </c>
      <c r="M529" s="18" t="s">
        <v>125</v>
      </c>
      <c r="N529" s="18" t="s">
        <v>125</v>
      </c>
      <c r="O529" s="18"/>
      <c r="P529" s="19" t="n">
        <v>46217.7916666667</v>
      </c>
      <c r="Q529" s="19" t="n">
        <v>46218.1666666667</v>
      </c>
      <c r="R529" s="19" t="n">
        <v>46218.5416666667</v>
      </c>
      <c r="S529" s="20" t="n">
        <f aca="false">ROUND((Q529-P529)*24,4)</f>
        <v>9</v>
      </c>
      <c r="T529" s="18" t="str">
        <f aca="false">TEXT(P529,"YYYY-MM")</f>
        <v>2026-07</v>
      </c>
      <c r="U529" s="18" t="n">
        <f aca="false">RANK(S529,$S$2:$S$670)+COUNTIF($S$2:S529,S529)-1</f>
        <v>164</v>
      </c>
      <c r="V529" s="20" t="n">
        <f aca="false">ROUND((R529-Q529)*24,4)</f>
        <v>9</v>
      </c>
      <c r="W529" s="20" t="n">
        <f aca="false">ROUND((R529-P529)*24,4)</f>
        <v>18</v>
      </c>
      <c r="X529" s="18" t="str">
        <f aca="false">TEXT(P529,"dddd")</f>
        <v>Tuesday</v>
      </c>
      <c r="Y529" s="18" t="n">
        <f aca="false">HOUR(Q529)</f>
        <v>4</v>
      </c>
    </row>
    <row r="530" customFormat="false" ht="15" hidden="false" customHeight="false" outlineLevel="0" collapsed="false">
      <c r="A530" s="18" t="s">
        <v>35</v>
      </c>
      <c r="B530" s="18" t="s">
        <v>199</v>
      </c>
      <c r="C530" s="18" t="s">
        <v>200</v>
      </c>
      <c r="D530" s="18" t="s">
        <v>46</v>
      </c>
      <c r="E530" s="18" t="s">
        <v>163</v>
      </c>
      <c r="F530" s="18" t="n">
        <v>2607</v>
      </c>
      <c r="G530" s="18" t="s">
        <v>125</v>
      </c>
      <c r="H530" s="18" t="s">
        <v>290</v>
      </c>
      <c r="I530" s="18" t="s">
        <v>24</v>
      </c>
      <c r="J530" s="18" t="s">
        <v>13</v>
      </c>
      <c r="K530" s="18" t="s">
        <v>186</v>
      </c>
      <c r="L530" s="18" t="s">
        <v>125</v>
      </c>
      <c r="M530" s="18" t="s">
        <v>125</v>
      </c>
      <c r="N530" s="18" t="s">
        <v>125</v>
      </c>
      <c r="O530" s="18"/>
      <c r="P530" s="19" t="n">
        <v>46217.8333333333</v>
      </c>
      <c r="Q530" s="19" t="n">
        <v>46218.0833333333</v>
      </c>
      <c r="R530" s="19" t="n">
        <v>46218.5</v>
      </c>
      <c r="S530" s="20" t="n">
        <f aca="false">ROUND((Q530-P530)*24,4)</f>
        <v>6</v>
      </c>
      <c r="T530" s="18" t="str">
        <f aca="false">TEXT(P530,"YYYY-MM")</f>
        <v>2026-07</v>
      </c>
      <c r="U530" s="18" t="n">
        <f aca="false">RANK(S530,$S$2:$S$670)+COUNTIF($S$2:S530,S530)-1</f>
        <v>217</v>
      </c>
      <c r="V530" s="20" t="n">
        <f aca="false">ROUND((R530-Q530)*24,4)</f>
        <v>10</v>
      </c>
      <c r="W530" s="20" t="n">
        <f aca="false">ROUND((R530-P530)*24,4)</f>
        <v>16</v>
      </c>
      <c r="X530" s="18" t="str">
        <f aca="false">TEXT(P530,"dddd")</f>
        <v>Tuesday</v>
      </c>
      <c r="Y530" s="18" t="n">
        <f aca="false">HOUR(Q530)</f>
        <v>2</v>
      </c>
    </row>
    <row r="531" customFormat="false" ht="15" hidden="false" customHeight="false" outlineLevel="0" collapsed="false">
      <c r="A531" s="18" t="s">
        <v>32</v>
      </c>
      <c r="B531" s="18" t="s">
        <v>182</v>
      </c>
      <c r="C531" s="18" t="s">
        <v>183</v>
      </c>
      <c r="D531" s="18" t="s">
        <v>48</v>
      </c>
      <c r="E531" s="18" t="s">
        <v>163</v>
      </c>
      <c r="F531" s="18" t="n">
        <v>2608</v>
      </c>
      <c r="G531" s="18" t="s">
        <v>125</v>
      </c>
      <c r="H531" s="18" t="s">
        <v>302</v>
      </c>
      <c r="I531" s="18" t="s">
        <v>17</v>
      </c>
      <c r="J531" s="18" t="s">
        <v>12</v>
      </c>
      <c r="K531" s="18" t="s">
        <v>13</v>
      </c>
      <c r="L531" s="18" t="s">
        <v>125</v>
      </c>
      <c r="M531" s="18" t="s">
        <v>125</v>
      </c>
      <c r="N531" s="18" t="s">
        <v>125</v>
      </c>
      <c r="O531" s="18"/>
      <c r="P531" s="19" t="n">
        <v>46218.0833333333</v>
      </c>
      <c r="Q531" s="19" t="n">
        <v>46218.2083333333</v>
      </c>
      <c r="R531" s="19" t="n">
        <v>46219.6666666667</v>
      </c>
      <c r="S531" s="20" t="n">
        <f aca="false">ROUND((Q531-P531)*24,4)</f>
        <v>3</v>
      </c>
      <c r="T531" s="18" t="str">
        <f aca="false">TEXT(P531,"YYYY-MM")</f>
        <v>2026-07</v>
      </c>
      <c r="U531" s="18" t="n">
        <f aca="false">RANK(S531,$S$2:$S$670)+COUNTIF($S$2:S531,S531)-1</f>
        <v>291</v>
      </c>
      <c r="V531" s="20" t="n">
        <f aca="false">ROUND((R531-Q531)*24,4)</f>
        <v>35</v>
      </c>
      <c r="W531" s="20" t="n">
        <f aca="false">ROUND((R531-P531)*24,4)</f>
        <v>38</v>
      </c>
      <c r="X531" s="18" t="str">
        <f aca="false">TEXT(P531,"dddd")</f>
        <v>Wednesday</v>
      </c>
      <c r="Y531" s="18" t="n">
        <f aca="false">HOUR(Q531)</f>
        <v>5</v>
      </c>
    </row>
    <row r="532" customFormat="false" ht="15" hidden="false" customHeight="false" outlineLevel="0" collapsed="false">
      <c r="A532" s="18" t="s">
        <v>39</v>
      </c>
      <c r="B532" s="18" t="s">
        <v>250</v>
      </c>
      <c r="C532" s="18" t="s">
        <v>251</v>
      </c>
      <c r="D532" s="18" t="s">
        <v>46</v>
      </c>
      <c r="E532" s="18" t="s">
        <v>176</v>
      </c>
      <c r="F532" s="18" t="n">
        <v>2606</v>
      </c>
      <c r="G532" s="18" t="s">
        <v>125</v>
      </c>
      <c r="H532" s="18" t="s">
        <v>270</v>
      </c>
      <c r="I532" s="18" t="s">
        <v>21</v>
      </c>
      <c r="J532" s="18" t="s">
        <v>13</v>
      </c>
      <c r="K532" s="18" t="s">
        <v>216</v>
      </c>
      <c r="L532" s="18" t="s">
        <v>125</v>
      </c>
      <c r="M532" s="18" t="s">
        <v>125</v>
      </c>
      <c r="N532" s="18" t="s">
        <v>125</v>
      </c>
      <c r="O532" s="18"/>
      <c r="P532" s="19" t="n">
        <v>46218.375</v>
      </c>
      <c r="Q532" s="19" t="n">
        <v>46218.4166666667</v>
      </c>
      <c r="R532" s="19" t="n">
        <v>46219.1791666667</v>
      </c>
      <c r="S532" s="20" t="n">
        <f aca="false">ROUND((Q532-P532)*24,4)</f>
        <v>1</v>
      </c>
      <c r="T532" s="18" t="str">
        <f aca="false">TEXT(P532,"YYYY-MM")</f>
        <v>2026-07</v>
      </c>
      <c r="U532" s="18" t="n">
        <f aca="false">RANK(S532,$S$2:$S$670)+COUNTIF($S$2:S532,S532)-1</f>
        <v>528</v>
      </c>
      <c r="V532" s="20" t="n">
        <f aca="false">ROUND((R532-Q532)*24,4)</f>
        <v>18.3</v>
      </c>
      <c r="W532" s="20" t="n">
        <f aca="false">ROUND((R532-P532)*24,4)</f>
        <v>19.3</v>
      </c>
      <c r="X532" s="18" t="str">
        <f aca="false">TEXT(P532,"dddd")</f>
        <v>Wednesday</v>
      </c>
      <c r="Y532" s="18" t="n">
        <f aca="false">HOUR(Q532)</f>
        <v>10</v>
      </c>
    </row>
    <row r="533" customFormat="false" ht="15" hidden="false" customHeight="false" outlineLevel="0" collapsed="false">
      <c r="A533" s="18" t="s">
        <v>36</v>
      </c>
      <c r="B533" s="18" t="s">
        <v>306</v>
      </c>
      <c r="C533" s="18" t="s">
        <v>307</v>
      </c>
      <c r="D533" s="18" t="s">
        <v>47</v>
      </c>
      <c r="E533" s="18" t="s">
        <v>176</v>
      </c>
      <c r="F533" s="18" t="n">
        <v>2608</v>
      </c>
      <c r="G533" s="18" t="s">
        <v>125</v>
      </c>
      <c r="H533" s="18" t="s">
        <v>302</v>
      </c>
      <c r="I533" s="18" t="s">
        <v>23</v>
      </c>
      <c r="J533" s="18" t="s">
        <v>13</v>
      </c>
      <c r="K533" s="18" t="s">
        <v>186</v>
      </c>
      <c r="L533" s="18" t="s">
        <v>125</v>
      </c>
      <c r="M533" s="18" t="s">
        <v>125</v>
      </c>
      <c r="N533" s="18" t="s">
        <v>125</v>
      </c>
      <c r="O533" s="18"/>
      <c r="P533" s="19" t="n">
        <v>46218.875</v>
      </c>
      <c r="Q533" s="19" t="n">
        <v>46218.9166666667</v>
      </c>
      <c r="R533" s="19" t="n">
        <v>46219.3333333333</v>
      </c>
      <c r="S533" s="20" t="n">
        <f aca="false">ROUND((Q533-P533)*24,4)</f>
        <v>1</v>
      </c>
      <c r="T533" s="18" t="str">
        <f aca="false">TEXT(P533,"YYYY-MM")</f>
        <v>2026-07</v>
      </c>
      <c r="U533" s="18" t="n">
        <f aca="false">RANK(S533,$S$2:$S$670)+COUNTIF($S$2:S533,S533)-1</f>
        <v>529</v>
      </c>
      <c r="V533" s="20" t="n">
        <f aca="false">ROUND((R533-Q533)*24,4)</f>
        <v>10</v>
      </c>
      <c r="W533" s="20" t="n">
        <f aca="false">ROUND((R533-P533)*24,4)</f>
        <v>11</v>
      </c>
      <c r="X533" s="18" t="str">
        <f aca="false">TEXT(P533,"dddd")</f>
        <v>Wednesday</v>
      </c>
      <c r="Y533" s="18" t="n">
        <f aca="false">HOUR(Q533)</f>
        <v>22</v>
      </c>
    </row>
    <row r="534" customFormat="false" ht="15" hidden="false" customHeight="false" outlineLevel="0" collapsed="false">
      <c r="A534" s="18" t="s">
        <v>38</v>
      </c>
      <c r="B534" s="18" t="s">
        <v>244</v>
      </c>
      <c r="C534" s="18" t="s">
        <v>245</v>
      </c>
      <c r="D534" s="18" t="s">
        <v>47</v>
      </c>
      <c r="E534" s="18" t="s">
        <v>163</v>
      </c>
      <c r="F534" s="18" t="n">
        <v>2606</v>
      </c>
      <c r="G534" s="18" t="s">
        <v>127</v>
      </c>
      <c r="H534" s="18" t="s">
        <v>269</v>
      </c>
      <c r="I534" s="18" t="s">
        <v>23</v>
      </c>
      <c r="J534" s="18" t="s">
        <v>13</v>
      </c>
      <c r="K534" s="18" t="s">
        <v>181</v>
      </c>
      <c r="L534" s="18" t="s">
        <v>125</v>
      </c>
      <c r="M534" s="18" t="s">
        <v>125</v>
      </c>
      <c r="N534" s="18" t="s">
        <v>125</v>
      </c>
      <c r="O534" s="18"/>
      <c r="P534" s="19" t="n">
        <v>46219.875</v>
      </c>
      <c r="Q534" s="19" t="n">
        <v>46219.9166666667</v>
      </c>
      <c r="R534" s="19" t="n">
        <v>46221.0416666667</v>
      </c>
      <c r="S534" s="20" t="n">
        <f aca="false">ROUND((Q534-P534)*24,4)</f>
        <v>1</v>
      </c>
      <c r="T534" s="18" t="str">
        <f aca="false">TEXT(P534,"YYYY-MM")</f>
        <v>2026-07</v>
      </c>
      <c r="U534" s="18" t="n">
        <f aca="false">RANK(S534,$S$2:$S$670)+COUNTIF($S$2:S534,S534)-1</f>
        <v>530</v>
      </c>
      <c r="V534" s="20" t="n">
        <f aca="false">ROUND((R534-Q534)*24,4)</f>
        <v>27</v>
      </c>
      <c r="W534" s="20" t="n">
        <f aca="false">ROUND((R534-P534)*24,4)</f>
        <v>28</v>
      </c>
      <c r="X534" s="18" t="str">
        <f aca="false">TEXT(P534,"dddd")</f>
        <v>Thursday</v>
      </c>
      <c r="Y534" s="18" t="n">
        <f aca="false">HOUR(Q534)</f>
        <v>22</v>
      </c>
    </row>
    <row r="535" customFormat="false" ht="15" hidden="false" customHeight="false" outlineLevel="0" collapsed="false">
      <c r="A535" s="18" t="s">
        <v>32</v>
      </c>
      <c r="B535" s="18" t="s">
        <v>182</v>
      </c>
      <c r="C535" s="18" t="s">
        <v>183</v>
      </c>
      <c r="D535" s="18" t="s">
        <v>48</v>
      </c>
      <c r="E535" s="18" t="s">
        <v>176</v>
      </c>
      <c r="F535" s="18" t="n">
        <v>2608</v>
      </c>
      <c r="G535" s="18" t="s">
        <v>125</v>
      </c>
      <c r="H535" s="18" t="s">
        <v>302</v>
      </c>
      <c r="I535" s="18" t="s">
        <v>23</v>
      </c>
      <c r="J535" s="18" t="s">
        <v>13</v>
      </c>
      <c r="K535" s="18" t="s">
        <v>186</v>
      </c>
      <c r="L535" s="18" t="s">
        <v>125</v>
      </c>
      <c r="M535" s="18" t="s">
        <v>125</v>
      </c>
      <c r="N535" s="18" t="s">
        <v>125</v>
      </c>
      <c r="O535" s="18"/>
      <c r="P535" s="19" t="n">
        <v>46219.875</v>
      </c>
      <c r="Q535" s="19" t="n">
        <v>46219.8958333333</v>
      </c>
      <c r="R535" s="19" t="n">
        <v>46220.25</v>
      </c>
      <c r="S535" s="20" t="n">
        <f aca="false">ROUND((Q535-P535)*24,4)</f>
        <v>0.5</v>
      </c>
      <c r="T535" s="18" t="str">
        <f aca="false">TEXT(P535,"YYYY-MM")</f>
        <v>2026-07</v>
      </c>
      <c r="U535" s="18" t="n">
        <f aca="false">RANK(S535,$S$2:$S$670)+COUNTIF($S$2:S535,S535)-1</f>
        <v>615</v>
      </c>
      <c r="V535" s="20" t="n">
        <f aca="false">ROUND((R535-Q535)*24,4)</f>
        <v>8.5</v>
      </c>
      <c r="W535" s="20" t="n">
        <f aca="false">ROUND((R535-P535)*24,4)</f>
        <v>9</v>
      </c>
      <c r="X535" s="18" t="str">
        <f aca="false">TEXT(P535,"dddd")</f>
        <v>Thursday</v>
      </c>
      <c r="Y535" s="18" t="n">
        <f aca="false">HOUR(Q535)</f>
        <v>21</v>
      </c>
    </row>
    <row r="536" customFormat="false" ht="15" hidden="false" customHeight="false" outlineLevel="0" collapsed="false">
      <c r="A536" s="18" t="s">
        <v>32</v>
      </c>
      <c r="B536" s="18" t="s">
        <v>188</v>
      </c>
      <c r="C536" s="18" t="s">
        <v>189</v>
      </c>
      <c r="D536" s="18" t="s">
        <v>46</v>
      </c>
      <c r="E536" s="18" t="s">
        <v>168</v>
      </c>
      <c r="F536" s="18" t="n">
        <v>2608</v>
      </c>
      <c r="G536" s="18" t="s">
        <v>127</v>
      </c>
      <c r="H536" s="18" t="s">
        <v>301</v>
      </c>
      <c r="I536" s="18" t="s">
        <v>23</v>
      </c>
      <c r="J536" s="18" t="s">
        <v>13</v>
      </c>
      <c r="K536" s="18" t="s">
        <v>12</v>
      </c>
      <c r="L536" s="18" t="s">
        <v>125</v>
      </c>
      <c r="M536" s="18" t="s">
        <v>125</v>
      </c>
      <c r="N536" s="18" t="s">
        <v>125</v>
      </c>
      <c r="O536" s="18"/>
      <c r="P536" s="19" t="n">
        <v>46224.25</v>
      </c>
      <c r="Q536" s="19" t="n">
        <v>46224.2916666667</v>
      </c>
      <c r="R536" s="19" t="n">
        <v>46224.5</v>
      </c>
      <c r="S536" s="20" t="n">
        <f aca="false">ROUND((Q536-P536)*24,4)</f>
        <v>1</v>
      </c>
      <c r="T536" s="18" t="str">
        <f aca="false">TEXT(P536,"YYYY-MM")</f>
        <v>2026-07</v>
      </c>
      <c r="U536" s="18" t="n">
        <f aca="false">RANK(S536,$S$2:$S$670)+COUNTIF($S$2:S536,S536)-1</f>
        <v>531</v>
      </c>
      <c r="V536" s="20" t="n">
        <f aca="false">ROUND((R536-Q536)*24,4)</f>
        <v>5</v>
      </c>
      <c r="W536" s="20" t="n">
        <f aca="false">ROUND((R536-P536)*24,4)</f>
        <v>6</v>
      </c>
      <c r="X536" s="18" t="str">
        <f aca="false">TEXT(P536,"dddd")</f>
        <v>Tuesday</v>
      </c>
      <c r="Y536" s="18" t="n">
        <f aca="false">HOUR(Q536)</f>
        <v>7</v>
      </c>
    </row>
    <row r="537" customFormat="false" ht="15" hidden="false" customHeight="false" outlineLevel="0" collapsed="false">
      <c r="A537" s="18" t="s">
        <v>32</v>
      </c>
      <c r="B537" s="18" t="s">
        <v>188</v>
      </c>
      <c r="C537" s="18" t="s">
        <v>189</v>
      </c>
      <c r="D537" s="18" t="s">
        <v>46</v>
      </c>
      <c r="E537" s="18" t="s">
        <v>163</v>
      </c>
      <c r="F537" s="18" t="n">
        <v>2608</v>
      </c>
      <c r="G537" s="18" t="s">
        <v>125</v>
      </c>
      <c r="H537" s="18" t="s">
        <v>302</v>
      </c>
      <c r="I537" s="18" t="s">
        <v>17</v>
      </c>
      <c r="J537" s="18" t="s">
        <v>12</v>
      </c>
      <c r="K537" s="18" t="s">
        <v>13</v>
      </c>
      <c r="L537" s="18" t="s">
        <v>125</v>
      </c>
      <c r="M537" s="18" t="s">
        <v>125</v>
      </c>
      <c r="N537" s="18" t="s">
        <v>125</v>
      </c>
      <c r="O537" s="18"/>
      <c r="P537" s="19" t="n">
        <v>46224.5833333333</v>
      </c>
      <c r="Q537" s="19" t="n">
        <v>46224.9791666667</v>
      </c>
      <c r="R537" s="19" t="n">
        <v>46226.75</v>
      </c>
      <c r="S537" s="20" t="n">
        <f aca="false">ROUND((Q537-P537)*24,4)</f>
        <v>9.5</v>
      </c>
      <c r="T537" s="18" t="str">
        <f aca="false">TEXT(P537,"YYYY-MM")</f>
        <v>2026-07</v>
      </c>
      <c r="U537" s="18" t="n">
        <f aca="false">RANK(S537,$S$2:$S$670)+COUNTIF($S$2:S537,S537)-1</f>
        <v>151</v>
      </c>
      <c r="V537" s="20" t="n">
        <f aca="false">ROUND((R537-Q537)*24,4)</f>
        <v>42.5</v>
      </c>
      <c r="W537" s="20" t="n">
        <f aca="false">ROUND((R537-P537)*24,4)</f>
        <v>52</v>
      </c>
      <c r="X537" s="18" t="str">
        <f aca="false">TEXT(P537,"dddd")</f>
        <v>Tuesday</v>
      </c>
      <c r="Y537" s="18" t="n">
        <f aca="false">HOUR(Q537)</f>
        <v>23</v>
      </c>
    </row>
    <row r="538" customFormat="false" ht="15" hidden="false" customHeight="false" outlineLevel="0" collapsed="false">
      <c r="A538" s="18" t="s">
        <v>31</v>
      </c>
      <c r="B538" s="18" t="s">
        <v>291</v>
      </c>
      <c r="C538" s="18" t="s">
        <v>292</v>
      </c>
      <c r="D538" s="18" t="s">
        <v>53</v>
      </c>
      <c r="E538" s="18" t="s">
        <v>198</v>
      </c>
      <c r="F538" s="18" t="n">
        <v>2606</v>
      </c>
      <c r="G538" s="18" t="s">
        <v>127</v>
      </c>
      <c r="H538" s="18" t="s">
        <v>269</v>
      </c>
      <c r="I538" s="18" t="s">
        <v>24</v>
      </c>
      <c r="J538" s="18" t="s">
        <v>13</v>
      </c>
      <c r="K538" s="18" t="s">
        <v>12</v>
      </c>
      <c r="L538" s="18" t="s">
        <v>125</v>
      </c>
      <c r="M538" s="18" t="s">
        <v>125</v>
      </c>
      <c r="N538" s="18" t="s">
        <v>125</v>
      </c>
      <c r="O538" s="18" t="s">
        <v>308</v>
      </c>
      <c r="P538" s="19" t="n">
        <v>46225.875</v>
      </c>
      <c r="Q538" s="19" t="n">
        <v>46225.9166666667</v>
      </c>
      <c r="R538" s="19" t="n">
        <v>46226.2083333333</v>
      </c>
      <c r="S538" s="20" t="n">
        <f aca="false">ROUND((Q538-P538)*24,4)</f>
        <v>1</v>
      </c>
      <c r="T538" s="18" t="str">
        <f aca="false">TEXT(P538,"YYYY-MM")</f>
        <v>2026-07</v>
      </c>
      <c r="U538" s="18" t="n">
        <f aca="false">RANK(S538,$S$2:$S$670)+COUNTIF($S$2:S538,S538)-1</f>
        <v>532</v>
      </c>
      <c r="V538" s="20" t="n">
        <f aca="false">ROUND((R538-Q538)*24,4)</f>
        <v>7</v>
      </c>
      <c r="W538" s="20" t="n">
        <f aca="false">ROUND((R538-P538)*24,4)</f>
        <v>8</v>
      </c>
      <c r="X538" s="18" t="str">
        <f aca="false">TEXT(P538,"dddd")</f>
        <v>Wednesday</v>
      </c>
      <c r="Y538" s="18" t="n">
        <f aca="false">HOUR(Q538)</f>
        <v>22</v>
      </c>
    </row>
    <row r="539" customFormat="false" ht="15" hidden="false" customHeight="false" outlineLevel="0" collapsed="false">
      <c r="A539" s="18" t="s">
        <v>31</v>
      </c>
      <c r="B539" s="18" t="s">
        <v>291</v>
      </c>
      <c r="C539" s="18" t="s">
        <v>292</v>
      </c>
      <c r="D539" s="18" t="s">
        <v>53</v>
      </c>
      <c r="E539" s="18" t="s">
        <v>168</v>
      </c>
      <c r="F539" s="18" t="n">
        <v>2606</v>
      </c>
      <c r="G539" s="18" t="s">
        <v>125</v>
      </c>
      <c r="H539" s="18" t="s">
        <v>270</v>
      </c>
      <c r="I539" s="18" t="s">
        <v>18</v>
      </c>
      <c r="J539" s="18" t="s">
        <v>12</v>
      </c>
      <c r="K539" s="18" t="s">
        <v>13</v>
      </c>
      <c r="L539" s="18" t="s">
        <v>125</v>
      </c>
      <c r="M539" s="18" t="s">
        <v>125</v>
      </c>
      <c r="N539" s="18" t="s">
        <v>125</v>
      </c>
      <c r="O539" s="18" t="s">
        <v>308</v>
      </c>
      <c r="P539" s="19" t="n">
        <v>46226.2916666667</v>
      </c>
      <c r="Q539" s="19" t="n">
        <v>46226.5666666667</v>
      </c>
      <c r="R539" s="19" t="n">
        <v>46227.5416666667</v>
      </c>
      <c r="S539" s="20" t="n">
        <f aca="false">ROUND((Q539-P539)*24,4)</f>
        <v>6.6</v>
      </c>
      <c r="T539" s="18" t="str">
        <f aca="false">TEXT(P539,"YYYY-MM")</f>
        <v>2026-07</v>
      </c>
      <c r="U539" s="18" t="n">
        <f aca="false">RANK(S539,$S$2:$S$670)+COUNTIF($S$2:S539,S539)-1</f>
        <v>199</v>
      </c>
      <c r="V539" s="20" t="n">
        <f aca="false">ROUND((R539-Q539)*24,4)</f>
        <v>23.4</v>
      </c>
      <c r="W539" s="20" t="n">
        <f aca="false">ROUND((R539-P539)*24,4)</f>
        <v>30</v>
      </c>
      <c r="X539" s="18" t="str">
        <f aca="false">TEXT(P539,"dddd")</f>
        <v>Thursday</v>
      </c>
      <c r="Y539" s="18" t="n">
        <f aca="false">HOUR(Q539)</f>
        <v>13</v>
      </c>
    </row>
    <row r="540" customFormat="false" ht="15" hidden="false" customHeight="false" outlineLevel="0" collapsed="false">
      <c r="A540" s="18" t="s">
        <v>39</v>
      </c>
      <c r="B540" s="18" t="s">
        <v>242</v>
      </c>
      <c r="C540" s="18" t="s">
        <v>243</v>
      </c>
      <c r="D540" s="18" t="s">
        <v>46</v>
      </c>
      <c r="E540" s="18" t="s">
        <v>176</v>
      </c>
      <c r="F540" s="18" t="n">
        <v>2607</v>
      </c>
      <c r="G540" s="18" t="s">
        <v>125</v>
      </c>
      <c r="H540" s="18" t="s">
        <v>290</v>
      </c>
      <c r="I540" s="18" t="s">
        <v>21</v>
      </c>
      <c r="J540" s="18" t="s">
        <v>13</v>
      </c>
      <c r="K540" s="18" t="s">
        <v>216</v>
      </c>
      <c r="L540" s="18" t="s">
        <v>144</v>
      </c>
      <c r="M540" s="18" t="s">
        <v>125</v>
      </c>
      <c r="N540" s="18" t="s">
        <v>125</v>
      </c>
      <c r="O540" s="18"/>
      <c r="P540" s="19" t="n">
        <v>46226.8256944444</v>
      </c>
      <c r="Q540" s="19" t="n">
        <v>46226.8263888889</v>
      </c>
      <c r="R540" s="19" t="n">
        <v>46226.8270833333</v>
      </c>
      <c r="S540" s="20" t="n">
        <f aca="false">ROUND((Q540-P540)*24,4)</f>
        <v>0.0167</v>
      </c>
      <c r="T540" s="18" t="str">
        <f aca="false">TEXT(P540,"YYYY-MM")</f>
        <v>2026-07</v>
      </c>
      <c r="U540" s="18" t="n">
        <f aca="false">RANK(S540,$S$2:$S$670)+COUNTIF($S$2:S540,S540)-1</f>
        <v>659</v>
      </c>
      <c r="V540" s="20" t="n">
        <f aca="false">ROUND((R540-Q540)*24,4)</f>
        <v>0.0167</v>
      </c>
      <c r="W540" s="20" t="n">
        <f aca="false">ROUND((R540-P540)*24,4)</f>
        <v>0.0333</v>
      </c>
      <c r="X540" s="18" t="str">
        <f aca="false">TEXT(P540,"dddd")</f>
        <v>Thursday</v>
      </c>
      <c r="Y540" s="18" t="n">
        <f aca="false">HOUR(Q540)</f>
        <v>19</v>
      </c>
    </row>
    <row r="541" customFormat="false" ht="15" hidden="false" customHeight="false" outlineLevel="0" collapsed="false">
      <c r="A541" s="18" t="s">
        <v>32</v>
      </c>
      <c r="B541" s="18" t="s">
        <v>188</v>
      </c>
      <c r="C541" s="18" t="s">
        <v>189</v>
      </c>
      <c r="D541" s="18" t="s">
        <v>46</v>
      </c>
      <c r="E541" s="18" t="s">
        <v>176</v>
      </c>
      <c r="F541" s="18" t="n">
        <v>2608</v>
      </c>
      <c r="G541" s="18" t="s">
        <v>125</v>
      </c>
      <c r="H541" s="18" t="s">
        <v>302</v>
      </c>
      <c r="I541" s="18" t="s">
        <v>23</v>
      </c>
      <c r="J541" s="18" t="s">
        <v>13</v>
      </c>
      <c r="K541" s="18" t="s">
        <v>186</v>
      </c>
      <c r="L541" s="18" t="s">
        <v>125</v>
      </c>
      <c r="M541" s="18" t="s">
        <v>125</v>
      </c>
      <c r="N541" s="18" t="s">
        <v>125</v>
      </c>
      <c r="O541" s="18"/>
      <c r="P541" s="19" t="n">
        <v>46226.9583333333</v>
      </c>
      <c r="Q541" s="19" t="n">
        <v>46227.5833333333</v>
      </c>
      <c r="R541" s="19" t="n">
        <v>46228.0625</v>
      </c>
      <c r="S541" s="20" t="n">
        <f aca="false">ROUND((Q541-P541)*24,4)</f>
        <v>15</v>
      </c>
      <c r="T541" s="18" t="str">
        <f aca="false">TEXT(P541,"YYYY-MM")</f>
        <v>2026-07</v>
      </c>
      <c r="U541" s="18" t="n">
        <f aca="false">RANK(S541,$S$2:$S$670)+COUNTIF($S$2:S541,S541)-1</f>
        <v>83</v>
      </c>
      <c r="V541" s="20" t="n">
        <f aca="false">ROUND((R541-Q541)*24,4)</f>
        <v>11.5</v>
      </c>
      <c r="W541" s="20" t="n">
        <f aca="false">ROUND((R541-P541)*24,4)</f>
        <v>26.5</v>
      </c>
      <c r="X541" s="18" t="str">
        <f aca="false">TEXT(P541,"dddd")</f>
        <v>Thursday</v>
      </c>
      <c r="Y541" s="18" t="n">
        <f aca="false">HOUR(Q541)</f>
        <v>14</v>
      </c>
    </row>
    <row r="542" customFormat="false" ht="15" hidden="false" customHeight="false" outlineLevel="0" collapsed="false">
      <c r="A542" s="18" t="s">
        <v>31</v>
      </c>
      <c r="B542" s="18" t="s">
        <v>291</v>
      </c>
      <c r="C542" s="18" t="s">
        <v>292</v>
      </c>
      <c r="D542" s="18" t="s">
        <v>53</v>
      </c>
      <c r="E542" s="18" t="s">
        <v>163</v>
      </c>
      <c r="F542" s="18" t="n">
        <v>2606</v>
      </c>
      <c r="G542" s="18" t="s">
        <v>125</v>
      </c>
      <c r="H542" s="18" t="s">
        <v>270</v>
      </c>
      <c r="I542" s="18" t="s">
        <v>24</v>
      </c>
      <c r="J542" s="18" t="s">
        <v>13</v>
      </c>
      <c r="K542" s="18" t="s">
        <v>165</v>
      </c>
      <c r="L542" s="18" t="s">
        <v>125</v>
      </c>
      <c r="M542" s="18" t="s">
        <v>125</v>
      </c>
      <c r="N542" s="18" t="s">
        <v>125</v>
      </c>
      <c r="O542" s="18" t="s">
        <v>308</v>
      </c>
      <c r="P542" s="19" t="n">
        <v>46227.7083333333</v>
      </c>
      <c r="Q542" s="19" t="n">
        <v>46229.4131944445</v>
      </c>
      <c r="R542" s="19" t="n">
        <v>46229.7923611111</v>
      </c>
      <c r="S542" s="20" t="n">
        <f aca="false">ROUND((Q542-P542)*24,4)</f>
        <v>40.9167</v>
      </c>
      <c r="T542" s="18" t="str">
        <f aca="false">TEXT(P542,"YYYY-MM")</f>
        <v>2026-07</v>
      </c>
      <c r="U542" s="18" t="n">
        <f aca="false">RANK(S542,$S$2:$S$670)+COUNTIF($S$2:S542,S542)-1</f>
        <v>12</v>
      </c>
      <c r="V542" s="20" t="n">
        <f aca="false">ROUND((R542-Q542)*24,4)</f>
        <v>9.1</v>
      </c>
      <c r="W542" s="20" t="n">
        <f aca="false">ROUND((R542-P542)*24,4)</f>
        <v>50.0167</v>
      </c>
      <c r="X542" s="18" t="str">
        <f aca="false">TEXT(P542,"dddd")</f>
        <v>Friday</v>
      </c>
      <c r="Y542" s="18" t="n">
        <f aca="false">HOUR(Q542)</f>
        <v>9</v>
      </c>
    </row>
    <row r="543" customFormat="false" ht="15" hidden="false" customHeight="false" outlineLevel="0" collapsed="false">
      <c r="A543" s="18" t="s">
        <v>31</v>
      </c>
      <c r="B543" s="18" t="s">
        <v>196</v>
      </c>
      <c r="C543" s="18" t="s">
        <v>197</v>
      </c>
      <c r="D543" s="18" t="s">
        <v>46</v>
      </c>
      <c r="E543" s="18" t="s">
        <v>198</v>
      </c>
      <c r="F543" s="18" t="n">
        <v>2607</v>
      </c>
      <c r="G543" s="18" t="s">
        <v>127</v>
      </c>
      <c r="H543" s="18" t="s">
        <v>289</v>
      </c>
      <c r="I543" s="18" t="s">
        <v>23</v>
      </c>
      <c r="J543" s="18" t="s">
        <v>13</v>
      </c>
      <c r="K543" s="18" t="s">
        <v>12</v>
      </c>
      <c r="L543" s="18" t="s">
        <v>125</v>
      </c>
      <c r="M543" s="18" t="s">
        <v>125</v>
      </c>
      <c r="N543" s="18" t="s">
        <v>125</v>
      </c>
      <c r="O543" s="18"/>
      <c r="P543" s="19" t="n">
        <v>46228.25</v>
      </c>
      <c r="Q543" s="19" t="n">
        <v>46228.2916666667</v>
      </c>
      <c r="R543" s="19" t="n">
        <v>46228.5833333333</v>
      </c>
      <c r="S543" s="20" t="n">
        <f aca="false">ROUND((Q543-P543)*24,4)</f>
        <v>1</v>
      </c>
      <c r="T543" s="18" t="str">
        <f aca="false">TEXT(P543,"YYYY-MM")</f>
        <v>2026-07</v>
      </c>
      <c r="U543" s="18" t="n">
        <f aca="false">RANK(S543,$S$2:$S$670)+COUNTIF($S$2:S543,S543)-1</f>
        <v>533</v>
      </c>
      <c r="V543" s="20" t="n">
        <f aca="false">ROUND((R543-Q543)*24,4)</f>
        <v>7</v>
      </c>
      <c r="W543" s="20" t="n">
        <f aca="false">ROUND((R543-P543)*24,4)</f>
        <v>8</v>
      </c>
      <c r="X543" s="18" t="str">
        <f aca="false">TEXT(P543,"dddd")</f>
        <v>Saturday</v>
      </c>
      <c r="Y543" s="18" t="n">
        <f aca="false">HOUR(Q543)</f>
        <v>7</v>
      </c>
    </row>
    <row r="544" customFormat="false" ht="15" hidden="false" customHeight="false" outlineLevel="0" collapsed="false">
      <c r="A544" s="18" t="s">
        <v>37</v>
      </c>
      <c r="B544" s="18" t="s">
        <v>236</v>
      </c>
      <c r="C544" s="18" t="s">
        <v>237</v>
      </c>
      <c r="D544" s="18" t="s">
        <v>46</v>
      </c>
      <c r="E544" s="18" t="s">
        <v>163</v>
      </c>
      <c r="F544" s="18" t="n">
        <v>2606</v>
      </c>
      <c r="G544" s="18" t="s">
        <v>127</v>
      </c>
      <c r="H544" s="18" t="s">
        <v>269</v>
      </c>
      <c r="I544" s="18" t="s">
        <v>20</v>
      </c>
      <c r="J544" s="18" t="s">
        <v>13</v>
      </c>
      <c r="K544" s="18" t="s">
        <v>12</v>
      </c>
      <c r="L544" s="18" t="s">
        <v>125</v>
      </c>
      <c r="M544" s="18" t="s">
        <v>125</v>
      </c>
      <c r="N544" s="18" t="s">
        <v>125</v>
      </c>
      <c r="O544" s="18"/>
      <c r="P544" s="19" t="n">
        <v>46228.7083333333</v>
      </c>
      <c r="Q544" s="19" t="n">
        <v>46228.7875</v>
      </c>
      <c r="R544" s="19" t="n">
        <v>46229.2083333333</v>
      </c>
      <c r="S544" s="20" t="n">
        <f aca="false">ROUND((Q544-P544)*24,4)</f>
        <v>1.9</v>
      </c>
      <c r="T544" s="18" t="str">
        <f aca="false">TEXT(P544,"YYYY-MM")</f>
        <v>2026-07</v>
      </c>
      <c r="U544" s="18" t="n">
        <f aca="false">RANK(S544,$S$2:$S$670)+COUNTIF($S$2:S544,S544)-1</f>
        <v>351</v>
      </c>
      <c r="V544" s="20" t="n">
        <f aca="false">ROUND((R544-Q544)*24,4)</f>
        <v>10.1</v>
      </c>
      <c r="W544" s="20" t="n">
        <f aca="false">ROUND((R544-P544)*24,4)</f>
        <v>12</v>
      </c>
      <c r="X544" s="18" t="str">
        <f aca="false">TEXT(P544,"dddd")</f>
        <v>Saturday</v>
      </c>
      <c r="Y544" s="18" t="n">
        <f aca="false">HOUR(Q544)</f>
        <v>18</v>
      </c>
    </row>
    <row r="545" customFormat="false" ht="15" hidden="false" customHeight="false" outlineLevel="0" collapsed="false">
      <c r="A545" s="18" t="s">
        <v>31</v>
      </c>
      <c r="B545" s="18" t="s">
        <v>196</v>
      </c>
      <c r="C545" s="18" t="s">
        <v>197</v>
      </c>
      <c r="D545" s="18" t="s">
        <v>46</v>
      </c>
      <c r="E545" s="18" t="s">
        <v>168</v>
      </c>
      <c r="F545" s="18" t="n">
        <v>2607</v>
      </c>
      <c r="G545" s="18" t="s">
        <v>125</v>
      </c>
      <c r="H545" s="18" t="s">
        <v>290</v>
      </c>
      <c r="I545" s="18" t="s">
        <v>18</v>
      </c>
      <c r="J545" s="18" t="s">
        <v>12</v>
      </c>
      <c r="K545" s="18" t="s">
        <v>13</v>
      </c>
      <c r="L545" s="18" t="s">
        <v>125</v>
      </c>
      <c r="M545" s="18" t="s">
        <v>125</v>
      </c>
      <c r="N545" s="18" t="s">
        <v>125</v>
      </c>
      <c r="O545" s="18"/>
      <c r="P545" s="19" t="n">
        <v>46228.7083333333</v>
      </c>
      <c r="Q545" s="19" t="n">
        <v>46228.7916666667</v>
      </c>
      <c r="R545" s="19" t="n">
        <v>46229.625</v>
      </c>
      <c r="S545" s="20" t="n">
        <f aca="false">ROUND((Q545-P545)*24,4)</f>
        <v>2</v>
      </c>
      <c r="T545" s="18" t="str">
        <f aca="false">TEXT(P545,"YYYY-MM")</f>
        <v>2026-07</v>
      </c>
      <c r="U545" s="18" t="n">
        <f aca="false">RANK(S545,$S$2:$S$670)+COUNTIF($S$2:S545,S545)-1</f>
        <v>341</v>
      </c>
      <c r="V545" s="20" t="n">
        <f aca="false">ROUND((R545-Q545)*24,4)</f>
        <v>20</v>
      </c>
      <c r="W545" s="20" t="n">
        <f aca="false">ROUND((R545-P545)*24,4)</f>
        <v>22</v>
      </c>
      <c r="X545" s="18" t="str">
        <f aca="false">TEXT(P545,"dddd")</f>
        <v>Saturday</v>
      </c>
      <c r="Y545" s="18" t="n">
        <f aca="false">HOUR(Q545)</f>
        <v>19</v>
      </c>
    </row>
    <row r="546" customFormat="false" ht="15" hidden="false" customHeight="false" outlineLevel="0" collapsed="false">
      <c r="A546" s="18" t="s">
        <v>37</v>
      </c>
      <c r="B546" s="18" t="s">
        <v>236</v>
      </c>
      <c r="C546" s="18" t="s">
        <v>237</v>
      </c>
      <c r="D546" s="18" t="s">
        <v>46</v>
      </c>
      <c r="E546" s="18" t="s">
        <v>176</v>
      </c>
      <c r="F546" s="18" t="n">
        <v>2606</v>
      </c>
      <c r="G546" s="18" t="s">
        <v>125</v>
      </c>
      <c r="H546" s="18" t="s">
        <v>270</v>
      </c>
      <c r="I546" s="18" t="s">
        <v>19</v>
      </c>
      <c r="J546" s="18" t="s">
        <v>12</v>
      </c>
      <c r="K546" s="18" t="s">
        <v>13</v>
      </c>
      <c r="L546" s="18" t="s">
        <v>125</v>
      </c>
      <c r="M546" s="18" t="s">
        <v>125</v>
      </c>
      <c r="N546" s="18" t="s">
        <v>125</v>
      </c>
      <c r="O546" s="18"/>
      <c r="P546" s="19" t="n">
        <v>46229.2916666667</v>
      </c>
      <c r="Q546" s="19" t="n">
        <v>46229.75</v>
      </c>
      <c r="R546" s="19" t="n">
        <v>46231.625</v>
      </c>
      <c r="S546" s="20" t="n">
        <f aca="false">ROUND((Q546-P546)*24,4)</f>
        <v>11</v>
      </c>
      <c r="T546" s="18" t="str">
        <f aca="false">TEXT(P546,"YYYY-MM")</f>
        <v>2026-07</v>
      </c>
      <c r="U546" s="18" t="n">
        <f aca="false">RANK(S546,$S$2:$S$670)+COUNTIF($S$2:S546,S546)-1</f>
        <v>128</v>
      </c>
      <c r="V546" s="20" t="n">
        <f aca="false">ROUND((R546-Q546)*24,4)</f>
        <v>45</v>
      </c>
      <c r="W546" s="20" t="n">
        <f aca="false">ROUND((R546-P546)*24,4)</f>
        <v>56</v>
      </c>
      <c r="X546" s="18" t="str">
        <f aca="false">TEXT(P546,"dddd")</f>
        <v>Sunday</v>
      </c>
      <c r="Y546" s="18" t="n">
        <f aca="false">HOUR(Q546)</f>
        <v>18</v>
      </c>
    </row>
    <row r="547" customFormat="false" ht="15" hidden="false" customHeight="false" outlineLevel="0" collapsed="false">
      <c r="A547" s="18" t="s">
        <v>36</v>
      </c>
      <c r="B547" s="18" t="s">
        <v>267</v>
      </c>
      <c r="C547" s="18" t="s">
        <v>268</v>
      </c>
      <c r="D547" s="18" t="s">
        <v>46</v>
      </c>
      <c r="E547" s="18" t="s">
        <v>168</v>
      </c>
      <c r="F547" s="18" t="n">
        <v>2612</v>
      </c>
      <c r="G547" s="18" t="s">
        <v>127</v>
      </c>
      <c r="H547" s="18" t="s">
        <v>332</v>
      </c>
      <c r="I547" s="18" t="s">
        <v>26</v>
      </c>
      <c r="J547" s="18" t="s">
        <v>13</v>
      </c>
      <c r="K547" s="18" t="s">
        <v>12</v>
      </c>
      <c r="L547" s="18" t="s">
        <v>125</v>
      </c>
      <c r="M547" s="18" t="s">
        <v>125</v>
      </c>
      <c r="N547" s="18" t="s">
        <v>125</v>
      </c>
      <c r="O547" s="18"/>
      <c r="P547" s="19" t="n">
        <v>46229.3333333333</v>
      </c>
      <c r="Q547" s="19" t="n">
        <v>46229.375</v>
      </c>
      <c r="R547" s="19" t="n">
        <v>46229.5833333333</v>
      </c>
      <c r="S547" s="20" t="n">
        <f aca="false">ROUND((Q547-P547)*24,4)</f>
        <v>1</v>
      </c>
      <c r="T547" s="18" t="str">
        <f aca="false">TEXT(P547,"YYYY-MM")</f>
        <v>2026-07</v>
      </c>
      <c r="U547" s="18" t="n">
        <f aca="false">RANK(S547,$S$2:$S$670)+COUNTIF($S$2:S547,S547)-1</f>
        <v>534</v>
      </c>
      <c r="V547" s="20" t="n">
        <f aca="false">ROUND((R547-Q547)*24,4)</f>
        <v>5</v>
      </c>
      <c r="W547" s="20" t="n">
        <f aca="false">ROUND((R547-P547)*24,4)</f>
        <v>6</v>
      </c>
      <c r="X547" s="18" t="str">
        <f aca="false">TEXT(P547,"dddd")</f>
        <v>Sunday</v>
      </c>
      <c r="Y547" s="18" t="n">
        <f aca="false">HOUR(Q547)</f>
        <v>9</v>
      </c>
    </row>
    <row r="548" customFormat="false" ht="15" hidden="false" customHeight="false" outlineLevel="0" collapsed="false">
      <c r="A548" s="18" t="s">
        <v>36</v>
      </c>
      <c r="B548" s="18" t="s">
        <v>267</v>
      </c>
      <c r="C548" s="18" t="s">
        <v>268</v>
      </c>
      <c r="D548" s="18" t="s">
        <v>46</v>
      </c>
      <c r="E548" s="18" t="s">
        <v>163</v>
      </c>
      <c r="F548" s="18" t="n">
        <v>2612</v>
      </c>
      <c r="G548" s="18" t="s">
        <v>125</v>
      </c>
      <c r="H548" s="18" t="s">
        <v>333</v>
      </c>
      <c r="I548" s="18" t="s">
        <v>17</v>
      </c>
      <c r="J548" s="18" t="s">
        <v>12</v>
      </c>
      <c r="K548" s="18" t="s">
        <v>13</v>
      </c>
      <c r="L548" s="18" t="s">
        <v>125</v>
      </c>
      <c r="M548" s="18" t="s">
        <v>125</v>
      </c>
      <c r="N548" s="18" t="s">
        <v>125</v>
      </c>
      <c r="O548" s="18"/>
      <c r="P548" s="19" t="n">
        <v>46229.6666666667</v>
      </c>
      <c r="Q548" s="19" t="n">
        <v>46230.7916666667</v>
      </c>
      <c r="R548" s="19" t="n">
        <v>46232.625</v>
      </c>
      <c r="S548" s="20" t="n">
        <f aca="false">ROUND((Q548-P548)*24,4)</f>
        <v>27</v>
      </c>
      <c r="T548" s="18" t="str">
        <f aca="false">TEXT(P548,"YYYY-MM")</f>
        <v>2026-07</v>
      </c>
      <c r="U548" s="18" t="n">
        <f aca="false">RANK(S548,$S$2:$S$670)+COUNTIF($S$2:S548,S548)-1</f>
        <v>29</v>
      </c>
      <c r="V548" s="20" t="n">
        <f aca="false">ROUND((R548-Q548)*24,4)</f>
        <v>44</v>
      </c>
      <c r="W548" s="20" t="n">
        <f aca="false">ROUND((R548-P548)*24,4)</f>
        <v>71</v>
      </c>
      <c r="X548" s="18" t="str">
        <f aca="false">TEXT(P548,"dddd")</f>
        <v>Sunday</v>
      </c>
      <c r="Y548" s="18" t="n">
        <f aca="false">HOUR(Q548)</f>
        <v>19</v>
      </c>
    </row>
    <row r="549" customFormat="false" ht="15" hidden="false" customHeight="false" outlineLevel="0" collapsed="false">
      <c r="A549" s="18" t="s">
        <v>31</v>
      </c>
      <c r="B549" s="18" t="s">
        <v>196</v>
      </c>
      <c r="C549" s="18" t="s">
        <v>197</v>
      </c>
      <c r="D549" s="18" t="s">
        <v>46</v>
      </c>
      <c r="E549" s="18" t="s">
        <v>163</v>
      </c>
      <c r="F549" s="18" t="n">
        <v>2607</v>
      </c>
      <c r="G549" s="18" t="s">
        <v>125</v>
      </c>
      <c r="H549" s="18" t="s">
        <v>290</v>
      </c>
      <c r="I549" s="18" t="s">
        <v>24</v>
      </c>
      <c r="J549" s="18" t="s">
        <v>13</v>
      </c>
      <c r="K549" s="18" t="s">
        <v>165</v>
      </c>
      <c r="L549" s="18" t="s">
        <v>125</v>
      </c>
      <c r="M549" s="18" t="s">
        <v>125</v>
      </c>
      <c r="N549" s="18" t="s">
        <v>125</v>
      </c>
      <c r="O549" s="18"/>
      <c r="P549" s="19" t="n">
        <v>46230.125</v>
      </c>
      <c r="Q549" s="19" t="n">
        <v>46230.1666666667</v>
      </c>
      <c r="R549" s="19" t="n">
        <v>46230.5416666667</v>
      </c>
      <c r="S549" s="20" t="n">
        <f aca="false">ROUND((Q549-P549)*24,4)</f>
        <v>1</v>
      </c>
      <c r="T549" s="18" t="str">
        <f aca="false">TEXT(P549,"YYYY-MM")</f>
        <v>2026-07</v>
      </c>
      <c r="U549" s="18" t="n">
        <f aca="false">RANK(S549,$S$2:$S$670)+COUNTIF($S$2:S549,S549)-1</f>
        <v>535</v>
      </c>
      <c r="V549" s="20" t="n">
        <f aca="false">ROUND((R549-Q549)*24,4)</f>
        <v>9</v>
      </c>
      <c r="W549" s="20" t="n">
        <f aca="false">ROUND((R549-P549)*24,4)</f>
        <v>10</v>
      </c>
      <c r="X549" s="18" t="str">
        <f aca="false">TEXT(P549,"dddd")</f>
        <v>Monday</v>
      </c>
      <c r="Y549" s="18" t="n">
        <f aca="false">HOUR(Q549)</f>
        <v>4</v>
      </c>
    </row>
    <row r="550" customFormat="false" ht="15" hidden="false" customHeight="false" outlineLevel="0" collapsed="false">
      <c r="A550" s="18" t="s">
        <v>32</v>
      </c>
      <c r="B550" s="18" t="s">
        <v>225</v>
      </c>
      <c r="C550" s="18" t="s">
        <v>226</v>
      </c>
      <c r="D550" s="18" t="s">
        <v>47</v>
      </c>
      <c r="E550" s="18" t="s">
        <v>168</v>
      </c>
      <c r="F550" s="18" t="n">
        <v>2609</v>
      </c>
      <c r="G550" s="18" t="s">
        <v>127</v>
      </c>
      <c r="H550" s="18" t="s">
        <v>318</v>
      </c>
      <c r="I550" s="18" t="s">
        <v>23</v>
      </c>
      <c r="J550" s="18" t="s">
        <v>13</v>
      </c>
      <c r="K550" s="18" t="s">
        <v>12</v>
      </c>
      <c r="L550" s="18" t="s">
        <v>125</v>
      </c>
      <c r="M550" s="18" t="s">
        <v>125</v>
      </c>
      <c r="N550" s="18" t="s">
        <v>125</v>
      </c>
      <c r="O550" s="18"/>
      <c r="P550" s="19" t="n">
        <v>46230.25</v>
      </c>
      <c r="Q550" s="19" t="n">
        <v>46230.2916666667</v>
      </c>
      <c r="R550" s="19" t="n">
        <v>46230.5416666667</v>
      </c>
      <c r="S550" s="20" t="n">
        <f aca="false">ROUND((Q550-P550)*24,4)</f>
        <v>1</v>
      </c>
      <c r="T550" s="18" t="str">
        <f aca="false">TEXT(P550,"YYYY-MM")</f>
        <v>2026-07</v>
      </c>
      <c r="U550" s="18" t="n">
        <f aca="false">RANK(S550,$S$2:$S$670)+COUNTIF($S$2:S550,S550)-1</f>
        <v>536</v>
      </c>
      <c r="V550" s="20" t="n">
        <f aca="false">ROUND((R550-Q550)*24,4)</f>
        <v>6</v>
      </c>
      <c r="W550" s="20" t="n">
        <f aca="false">ROUND((R550-P550)*24,4)</f>
        <v>7</v>
      </c>
      <c r="X550" s="18" t="str">
        <f aca="false">TEXT(P550,"dddd")</f>
        <v>Monday</v>
      </c>
      <c r="Y550" s="18" t="n">
        <f aca="false">HOUR(Q550)</f>
        <v>7</v>
      </c>
    </row>
    <row r="551" customFormat="false" ht="15" hidden="false" customHeight="false" outlineLevel="0" collapsed="false">
      <c r="A551" s="18" t="s">
        <v>32</v>
      </c>
      <c r="B551" s="18" t="s">
        <v>225</v>
      </c>
      <c r="C551" s="18" t="s">
        <v>226</v>
      </c>
      <c r="D551" s="18" t="s">
        <v>47</v>
      </c>
      <c r="E551" s="18" t="s">
        <v>163</v>
      </c>
      <c r="F551" s="18" t="n">
        <v>2609</v>
      </c>
      <c r="G551" s="18" t="s">
        <v>125</v>
      </c>
      <c r="H551" s="18" t="s">
        <v>319</v>
      </c>
      <c r="I551" s="18" t="s">
        <v>17</v>
      </c>
      <c r="J551" s="18" t="s">
        <v>12</v>
      </c>
      <c r="K551" s="18" t="s">
        <v>13</v>
      </c>
      <c r="L551" s="18" t="s">
        <v>125</v>
      </c>
      <c r="M551" s="18" t="s">
        <v>125</v>
      </c>
      <c r="N551" s="18" t="s">
        <v>125</v>
      </c>
      <c r="O551" s="18"/>
      <c r="P551" s="19" t="n">
        <v>46230.625</v>
      </c>
      <c r="Q551" s="19" t="n">
        <v>46231.7916666667</v>
      </c>
      <c r="R551" s="19" t="n">
        <v>46232.7083333333</v>
      </c>
      <c r="S551" s="20" t="n">
        <f aca="false">ROUND((Q551-P551)*24,4)</f>
        <v>28</v>
      </c>
      <c r="T551" s="18" t="str">
        <f aca="false">TEXT(P551,"YYYY-MM")</f>
        <v>2026-07</v>
      </c>
      <c r="U551" s="18" t="n">
        <f aca="false">RANK(S551,$S$2:$S$670)+COUNTIF($S$2:S551,S551)-1</f>
        <v>25</v>
      </c>
      <c r="V551" s="20" t="n">
        <f aca="false">ROUND((R551-Q551)*24,4)</f>
        <v>22</v>
      </c>
      <c r="W551" s="20" t="n">
        <f aca="false">ROUND((R551-P551)*24,4)</f>
        <v>50</v>
      </c>
      <c r="X551" s="18" t="str">
        <f aca="false">TEXT(P551,"dddd")</f>
        <v>Monday</v>
      </c>
      <c r="Y551" s="18" t="n">
        <f aca="false">HOUR(Q551)</f>
        <v>19</v>
      </c>
    </row>
    <row r="552" customFormat="false" ht="15" hidden="false" customHeight="false" outlineLevel="0" collapsed="false">
      <c r="A552" s="18" t="s">
        <v>36</v>
      </c>
      <c r="B552" s="18" t="s">
        <v>326</v>
      </c>
      <c r="C552" s="18" t="s">
        <v>327</v>
      </c>
      <c r="D552" s="18" t="s">
        <v>47</v>
      </c>
      <c r="E552" s="18" t="s">
        <v>168</v>
      </c>
      <c r="F552" s="18" t="n">
        <v>2612</v>
      </c>
      <c r="G552" s="18" t="s">
        <v>127</v>
      </c>
      <c r="H552" s="18" t="s">
        <v>332</v>
      </c>
      <c r="I552" s="18" t="s">
        <v>23</v>
      </c>
      <c r="J552" s="18" t="s">
        <v>13</v>
      </c>
      <c r="K552" s="18" t="s">
        <v>12</v>
      </c>
      <c r="L552" s="18" t="s">
        <v>125</v>
      </c>
      <c r="M552" s="18" t="s">
        <v>125</v>
      </c>
      <c r="N552" s="18" t="s">
        <v>125</v>
      </c>
      <c r="O552" s="18"/>
      <c r="P552" s="19" t="n">
        <v>46230.7083333333</v>
      </c>
      <c r="Q552" s="19" t="n">
        <v>46230.75</v>
      </c>
      <c r="R552" s="19" t="n">
        <v>46231.0833333333</v>
      </c>
      <c r="S552" s="20" t="n">
        <f aca="false">ROUND((Q552-P552)*24,4)</f>
        <v>1</v>
      </c>
      <c r="T552" s="18" t="str">
        <f aca="false">TEXT(P552,"YYYY-MM")</f>
        <v>2026-07</v>
      </c>
      <c r="U552" s="18" t="n">
        <f aca="false">RANK(S552,$S$2:$S$670)+COUNTIF($S$2:S552,S552)-1</f>
        <v>537</v>
      </c>
      <c r="V552" s="20" t="n">
        <f aca="false">ROUND((R552-Q552)*24,4)</f>
        <v>8</v>
      </c>
      <c r="W552" s="20" t="n">
        <f aca="false">ROUND((R552-P552)*24,4)</f>
        <v>9</v>
      </c>
      <c r="X552" s="18" t="str">
        <f aca="false">TEXT(P552,"dddd")</f>
        <v>Monday</v>
      </c>
      <c r="Y552" s="18" t="n">
        <f aca="false">HOUR(Q552)</f>
        <v>18</v>
      </c>
    </row>
    <row r="553" customFormat="false" ht="15" hidden="false" customHeight="false" outlineLevel="0" collapsed="false">
      <c r="A553" s="18" t="s">
        <v>36</v>
      </c>
      <c r="B553" s="18" t="s">
        <v>326</v>
      </c>
      <c r="C553" s="18" t="s">
        <v>327</v>
      </c>
      <c r="D553" s="18" t="s">
        <v>47</v>
      </c>
      <c r="E553" s="18" t="s">
        <v>163</v>
      </c>
      <c r="F553" s="18" t="n">
        <v>2612</v>
      </c>
      <c r="G553" s="18" t="s">
        <v>125</v>
      </c>
      <c r="H553" s="18" t="s">
        <v>333</v>
      </c>
      <c r="I553" s="18" t="s">
        <v>17</v>
      </c>
      <c r="J553" s="18" t="s">
        <v>12</v>
      </c>
      <c r="K553" s="18" t="s">
        <v>13</v>
      </c>
      <c r="L553" s="18" t="s">
        <v>125</v>
      </c>
      <c r="M553" s="18" t="s">
        <v>125</v>
      </c>
      <c r="N553" s="18" t="s">
        <v>125</v>
      </c>
      <c r="O553" s="18"/>
      <c r="P553" s="19" t="n">
        <v>46231.2375</v>
      </c>
      <c r="Q553" s="19" t="n">
        <v>46232.7916666667</v>
      </c>
      <c r="R553" s="19" t="n">
        <v>46233.8333333333</v>
      </c>
      <c r="S553" s="20" t="n">
        <f aca="false">ROUND((Q553-P553)*24,4)</f>
        <v>37.3</v>
      </c>
      <c r="T553" s="18" t="str">
        <f aca="false">TEXT(P553,"YYYY-MM")</f>
        <v>2026-07</v>
      </c>
      <c r="U553" s="18" t="n">
        <f aca="false">RANK(S553,$S$2:$S$670)+COUNTIF($S$2:S553,S553)-1</f>
        <v>14</v>
      </c>
      <c r="V553" s="20" t="n">
        <f aca="false">ROUND((R553-Q553)*24,4)</f>
        <v>25</v>
      </c>
      <c r="W553" s="20" t="n">
        <f aca="false">ROUND((R553-P553)*24,4)</f>
        <v>62.3</v>
      </c>
      <c r="X553" s="18" t="str">
        <f aca="false">TEXT(P553,"dddd")</f>
        <v>Tuesday</v>
      </c>
      <c r="Y553" s="18" t="n">
        <f aca="false">HOUR(Q553)</f>
        <v>19</v>
      </c>
    </row>
    <row r="554" customFormat="false" ht="15" hidden="false" customHeight="false" outlineLevel="0" collapsed="false">
      <c r="A554" s="18" t="s">
        <v>34</v>
      </c>
      <c r="B554" s="18" t="s">
        <v>233</v>
      </c>
      <c r="C554" s="18" t="s">
        <v>234</v>
      </c>
      <c r="D554" s="18" t="s">
        <v>46</v>
      </c>
      <c r="E554" s="18" t="s">
        <v>163</v>
      </c>
      <c r="F554" s="18" t="n">
        <v>2608</v>
      </c>
      <c r="G554" s="18" t="s">
        <v>127</v>
      </c>
      <c r="H554" s="18" t="s">
        <v>301</v>
      </c>
      <c r="I554" s="18" t="s">
        <v>23</v>
      </c>
      <c r="J554" s="18" t="s">
        <v>13</v>
      </c>
      <c r="K554" s="18" t="s">
        <v>12</v>
      </c>
      <c r="L554" s="18" t="s">
        <v>125</v>
      </c>
      <c r="M554" s="18" t="s">
        <v>125</v>
      </c>
      <c r="N554" s="18" t="s">
        <v>125</v>
      </c>
      <c r="O554" s="18"/>
      <c r="P554" s="19" t="n">
        <v>46231.3333333333</v>
      </c>
      <c r="Q554" s="19" t="n">
        <v>46231.375</v>
      </c>
      <c r="R554" s="19" t="n">
        <v>46231.625</v>
      </c>
      <c r="S554" s="20" t="n">
        <f aca="false">ROUND((Q554-P554)*24,4)</f>
        <v>1</v>
      </c>
      <c r="T554" s="18" t="str">
        <f aca="false">TEXT(P554,"YYYY-MM")</f>
        <v>2026-07</v>
      </c>
      <c r="U554" s="18" t="n">
        <f aca="false">RANK(S554,$S$2:$S$670)+COUNTIF($S$2:S554,S554)-1</f>
        <v>538</v>
      </c>
      <c r="V554" s="20" t="n">
        <f aca="false">ROUND((R554-Q554)*24,4)</f>
        <v>6</v>
      </c>
      <c r="W554" s="20" t="n">
        <f aca="false">ROUND((R554-P554)*24,4)</f>
        <v>7</v>
      </c>
      <c r="X554" s="18" t="str">
        <f aca="false">TEXT(P554,"dddd")</f>
        <v>Tuesday</v>
      </c>
      <c r="Y554" s="18" t="n">
        <f aca="false">HOUR(Q554)</f>
        <v>9</v>
      </c>
    </row>
    <row r="555" customFormat="false" ht="15" hidden="false" customHeight="false" outlineLevel="0" collapsed="false">
      <c r="A555" s="18" t="s">
        <v>35</v>
      </c>
      <c r="B555" s="18" t="s">
        <v>228</v>
      </c>
      <c r="C555" s="18" t="s">
        <v>229</v>
      </c>
      <c r="D555" s="18" t="s">
        <v>52</v>
      </c>
      <c r="E555" s="18" t="s">
        <v>198</v>
      </c>
      <c r="F555" s="18" t="n">
        <v>2607</v>
      </c>
      <c r="G555" s="18" t="s">
        <v>127</v>
      </c>
      <c r="H555" s="18" t="s">
        <v>289</v>
      </c>
      <c r="I555" s="18" t="s">
        <v>28</v>
      </c>
      <c r="J555" s="18" t="s">
        <v>13</v>
      </c>
      <c r="K555" s="18" t="s">
        <v>12</v>
      </c>
      <c r="L555" s="18" t="s">
        <v>125</v>
      </c>
      <c r="M555" s="18" t="s">
        <v>125</v>
      </c>
      <c r="N555" s="18" t="s">
        <v>125</v>
      </c>
      <c r="O555" s="18"/>
      <c r="P555" s="19" t="n">
        <v>46231.5</v>
      </c>
      <c r="Q555" s="19" t="n">
        <v>46231.5416666667</v>
      </c>
      <c r="R555" s="19" t="n">
        <v>46231.9583333333</v>
      </c>
      <c r="S555" s="20" t="n">
        <f aca="false">ROUND((Q555-P555)*24,4)</f>
        <v>1</v>
      </c>
      <c r="T555" s="18" t="str">
        <f aca="false">TEXT(P555,"YYYY-MM")</f>
        <v>2026-07</v>
      </c>
      <c r="U555" s="18" t="n">
        <f aca="false">RANK(S555,$S$2:$S$670)+COUNTIF($S$2:S555,S555)-1</f>
        <v>539</v>
      </c>
      <c r="V555" s="20" t="n">
        <f aca="false">ROUND((R555-Q555)*24,4)</f>
        <v>10</v>
      </c>
      <c r="W555" s="20" t="n">
        <f aca="false">ROUND((R555-P555)*24,4)</f>
        <v>11</v>
      </c>
      <c r="X555" s="18" t="str">
        <f aca="false">TEXT(P555,"dddd")</f>
        <v>Tuesday</v>
      </c>
      <c r="Y555" s="18" t="n">
        <f aca="false">HOUR(Q555)</f>
        <v>13</v>
      </c>
    </row>
    <row r="556" customFormat="false" ht="15" hidden="false" customHeight="false" outlineLevel="0" collapsed="false">
      <c r="A556" s="18" t="s">
        <v>34</v>
      </c>
      <c r="B556" s="18" t="s">
        <v>233</v>
      </c>
      <c r="C556" s="18" t="s">
        <v>234</v>
      </c>
      <c r="D556" s="18" t="s">
        <v>46</v>
      </c>
      <c r="E556" s="18" t="s">
        <v>176</v>
      </c>
      <c r="F556" s="18" t="n">
        <v>2608</v>
      </c>
      <c r="G556" s="18" t="s">
        <v>125</v>
      </c>
      <c r="H556" s="18" t="s">
        <v>302</v>
      </c>
      <c r="I556" s="18" t="s">
        <v>17</v>
      </c>
      <c r="J556" s="18" t="s">
        <v>12</v>
      </c>
      <c r="K556" s="18" t="s">
        <v>13</v>
      </c>
      <c r="L556" s="18" t="s">
        <v>125</v>
      </c>
      <c r="M556" s="18" t="s">
        <v>125</v>
      </c>
      <c r="N556" s="18" t="s">
        <v>125</v>
      </c>
      <c r="O556" s="18"/>
      <c r="P556" s="19" t="n">
        <v>46231.7083333333</v>
      </c>
      <c r="Q556" s="19" t="n">
        <v>46233.875</v>
      </c>
      <c r="R556" s="19" t="n">
        <v>46235.7041666667</v>
      </c>
      <c r="S556" s="20" t="n">
        <f aca="false">ROUND((Q556-P556)*24,4)</f>
        <v>52</v>
      </c>
      <c r="T556" s="18" t="str">
        <f aca="false">TEXT(P556,"YYYY-MM")</f>
        <v>2026-07</v>
      </c>
      <c r="U556" s="18" t="n">
        <f aca="false">RANK(S556,$S$2:$S$670)+COUNTIF($S$2:S556,S556)-1</f>
        <v>5</v>
      </c>
      <c r="V556" s="20" t="n">
        <f aca="false">ROUND((R556-Q556)*24,4)</f>
        <v>43.9</v>
      </c>
      <c r="W556" s="20" t="n">
        <f aca="false">ROUND((R556-P556)*24,4)</f>
        <v>95.9</v>
      </c>
      <c r="X556" s="18" t="str">
        <f aca="false">TEXT(P556,"dddd")</f>
        <v>Tuesday</v>
      </c>
      <c r="Y556" s="18" t="n">
        <f aca="false">HOUR(Q556)</f>
        <v>21</v>
      </c>
    </row>
    <row r="557" customFormat="false" ht="15" hidden="false" customHeight="false" outlineLevel="0" collapsed="false">
      <c r="A557" s="18" t="s">
        <v>37</v>
      </c>
      <c r="B557" s="18" t="s">
        <v>236</v>
      </c>
      <c r="C557" s="18" t="s">
        <v>237</v>
      </c>
      <c r="D557" s="18" t="s">
        <v>46</v>
      </c>
      <c r="E557" s="18" t="s">
        <v>185</v>
      </c>
      <c r="F557" s="18" t="n">
        <v>2606</v>
      </c>
      <c r="G557" s="18" t="s">
        <v>125</v>
      </c>
      <c r="H557" s="18" t="s">
        <v>270</v>
      </c>
      <c r="I557" s="18" t="s">
        <v>20</v>
      </c>
      <c r="J557" s="18" t="s">
        <v>13</v>
      </c>
      <c r="K557" s="18" t="s">
        <v>165</v>
      </c>
      <c r="L557" s="18" t="s">
        <v>125</v>
      </c>
      <c r="M557" s="18" t="s">
        <v>125</v>
      </c>
      <c r="N557" s="18" t="s">
        <v>125</v>
      </c>
      <c r="O557" s="18"/>
      <c r="P557" s="19" t="n">
        <v>46231.7875</v>
      </c>
      <c r="Q557" s="19" t="n">
        <v>46231.8708333333</v>
      </c>
      <c r="R557" s="19" t="n">
        <v>46232.4125</v>
      </c>
      <c r="S557" s="20" t="n">
        <f aca="false">ROUND((Q557-P557)*24,4)</f>
        <v>2</v>
      </c>
      <c r="T557" s="18" t="str">
        <f aca="false">TEXT(P557,"YYYY-MM")</f>
        <v>2026-07</v>
      </c>
      <c r="U557" s="18" t="n">
        <f aca="false">RANK(S557,$S$2:$S$670)+COUNTIF($S$2:S557,S557)-1</f>
        <v>342</v>
      </c>
      <c r="V557" s="20" t="n">
        <f aca="false">ROUND((R557-Q557)*24,4)</f>
        <v>13</v>
      </c>
      <c r="W557" s="20" t="n">
        <f aca="false">ROUND((R557-P557)*24,4)</f>
        <v>15</v>
      </c>
      <c r="X557" s="18" t="str">
        <f aca="false">TEXT(P557,"dddd")</f>
        <v>Tuesday</v>
      </c>
      <c r="Y557" s="18" t="n">
        <f aca="false">HOUR(Q557)</f>
        <v>20</v>
      </c>
    </row>
    <row r="558" customFormat="false" ht="15" hidden="false" customHeight="false" outlineLevel="0" collapsed="false">
      <c r="A558" s="18" t="s">
        <v>35</v>
      </c>
      <c r="B558" s="18" t="s">
        <v>228</v>
      </c>
      <c r="C558" s="18" t="s">
        <v>229</v>
      </c>
      <c r="D558" s="18" t="s">
        <v>52</v>
      </c>
      <c r="E558" s="18" t="s">
        <v>168</v>
      </c>
      <c r="F558" s="18" t="n">
        <v>2607</v>
      </c>
      <c r="G558" s="18" t="s">
        <v>125</v>
      </c>
      <c r="H558" s="18" t="s">
        <v>290</v>
      </c>
      <c r="I558" s="18" t="s">
        <v>19</v>
      </c>
      <c r="J558" s="18" t="s">
        <v>12</v>
      </c>
      <c r="K558" s="18" t="s">
        <v>13</v>
      </c>
      <c r="L558" s="18" t="s">
        <v>125</v>
      </c>
      <c r="M558" s="18" t="s">
        <v>125</v>
      </c>
      <c r="N558" s="18" t="s">
        <v>125</v>
      </c>
      <c r="O558" s="18"/>
      <c r="P558" s="19" t="n">
        <v>46232.0416666667</v>
      </c>
      <c r="Q558" s="19" t="n">
        <v>46232.875</v>
      </c>
      <c r="R558" s="19" t="n">
        <v>46235.125</v>
      </c>
      <c r="S558" s="20" t="n">
        <f aca="false">ROUND((Q558-P558)*24,4)</f>
        <v>20</v>
      </c>
      <c r="T558" s="18" t="str">
        <f aca="false">TEXT(P558,"YYYY-MM")</f>
        <v>2026-07</v>
      </c>
      <c r="U558" s="18" t="n">
        <f aca="false">RANK(S558,$S$2:$S$670)+COUNTIF($S$2:S558,S558)-1</f>
        <v>48</v>
      </c>
      <c r="V558" s="20" t="n">
        <f aca="false">ROUND((R558-Q558)*24,4)</f>
        <v>54</v>
      </c>
      <c r="W558" s="20" t="n">
        <f aca="false">ROUND((R558-P558)*24,4)</f>
        <v>74</v>
      </c>
      <c r="X558" s="18" t="str">
        <f aca="false">TEXT(P558,"dddd")</f>
        <v>Wednesday</v>
      </c>
      <c r="Y558" s="18" t="n">
        <f aca="false">HOUR(Q558)</f>
        <v>21</v>
      </c>
    </row>
    <row r="559" customFormat="false" ht="15" hidden="false" customHeight="false" outlineLevel="0" collapsed="false">
      <c r="A559" s="18" t="s">
        <v>33</v>
      </c>
      <c r="B559" s="18" t="s">
        <v>194</v>
      </c>
      <c r="C559" s="18" t="s">
        <v>195</v>
      </c>
      <c r="D559" s="18" t="s">
        <v>46</v>
      </c>
      <c r="E559" s="18" t="s">
        <v>163</v>
      </c>
      <c r="F559" s="18" t="n">
        <v>2608</v>
      </c>
      <c r="G559" s="18" t="s">
        <v>127</v>
      </c>
      <c r="H559" s="18" t="s">
        <v>301</v>
      </c>
      <c r="I559" s="18" t="s">
        <v>23</v>
      </c>
      <c r="J559" s="18" t="s">
        <v>13</v>
      </c>
      <c r="K559" s="18" t="s">
        <v>12</v>
      </c>
      <c r="L559" s="18" t="s">
        <v>125</v>
      </c>
      <c r="M559" s="18" t="s">
        <v>125</v>
      </c>
      <c r="N559" s="18" t="s">
        <v>144</v>
      </c>
      <c r="O559" s="18"/>
      <c r="P559" s="19" t="n">
        <v>46232.25</v>
      </c>
      <c r="Q559" s="19" t="n">
        <v>46232.2916666667</v>
      </c>
      <c r="R559" s="19" t="n">
        <v>46232.5</v>
      </c>
      <c r="S559" s="20" t="n">
        <f aca="false">ROUND((Q559-P559)*24,4)</f>
        <v>1</v>
      </c>
      <c r="T559" s="18" t="str">
        <f aca="false">TEXT(P559,"YYYY-MM")</f>
        <v>2026-07</v>
      </c>
      <c r="U559" s="18" t="n">
        <f aca="false">RANK(S559,$S$2:$S$670)+COUNTIF($S$2:S559,S559)-1</f>
        <v>540</v>
      </c>
      <c r="V559" s="20" t="n">
        <f aca="false">ROUND((R559-Q559)*24,4)</f>
        <v>5</v>
      </c>
      <c r="W559" s="20" t="n">
        <f aca="false">ROUND((R559-P559)*24,4)</f>
        <v>6</v>
      </c>
      <c r="X559" s="18" t="str">
        <f aca="false">TEXT(P559,"dddd")</f>
        <v>Wednesday</v>
      </c>
      <c r="Y559" s="18" t="n">
        <f aca="false">HOUR(Q559)</f>
        <v>7</v>
      </c>
    </row>
    <row r="560" customFormat="false" ht="15" hidden="false" customHeight="false" outlineLevel="0" collapsed="false">
      <c r="A560" s="18" t="s">
        <v>33</v>
      </c>
      <c r="B560" s="18" t="s">
        <v>194</v>
      </c>
      <c r="C560" s="18" t="s">
        <v>195</v>
      </c>
      <c r="D560" s="18" t="s">
        <v>46</v>
      </c>
      <c r="E560" s="18" t="s">
        <v>176</v>
      </c>
      <c r="F560" s="18" t="n">
        <v>2608</v>
      </c>
      <c r="G560" s="18" t="s">
        <v>125</v>
      </c>
      <c r="H560" s="18" t="s">
        <v>302</v>
      </c>
      <c r="I560" s="18" t="s">
        <v>18</v>
      </c>
      <c r="J560" s="18" t="s">
        <v>12</v>
      </c>
      <c r="K560" s="18" t="s">
        <v>13</v>
      </c>
      <c r="L560" s="18" t="s">
        <v>125</v>
      </c>
      <c r="M560" s="18" t="s">
        <v>125</v>
      </c>
      <c r="N560" s="18" t="s">
        <v>125</v>
      </c>
      <c r="O560" s="18"/>
      <c r="P560" s="19" t="n">
        <v>46232.5833333333</v>
      </c>
      <c r="Q560" s="19" t="n">
        <v>46232.75</v>
      </c>
      <c r="R560" s="19" t="n">
        <v>46233.6666666667</v>
      </c>
      <c r="S560" s="20" t="n">
        <f aca="false">ROUND((Q560-P560)*24,4)</f>
        <v>4</v>
      </c>
      <c r="T560" s="18" t="str">
        <f aca="false">TEXT(P560,"YYYY-MM")</f>
        <v>2026-07</v>
      </c>
      <c r="U560" s="18" t="n">
        <f aca="false">RANK(S560,$S$2:$S$670)+COUNTIF($S$2:S560,S560)-1</f>
        <v>256</v>
      </c>
      <c r="V560" s="20" t="n">
        <f aca="false">ROUND((R560-Q560)*24,4)</f>
        <v>22</v>
      </c>
      <c r="W560" s="20" t="n">
        <f aca="false">ROUND((R560-P560)*24,4)</f>
        <v>26</v>
      </c>
      <c r="X560" s="18" t="str">
        <f aca="false">TEXT(P560,"dddd")</f>
        <v>Wednesday</v>
      </c>
      <c r="Y560" s="18" t="n">
        <f aca="false">HOUR(Q560)</f>
        <v>18</v>
      </c>
    </row>
    <row r="561" customFormat="false" ht="15" hidden="false" customHeight="false" outlineLevel="0" collapsed="false">
      <c r="A561" s="18" t="s">
        <v>32</v>
      </c>
      <c r="B561" s="18" t="s">
        <v>225</v>
      </c>
      <c r="C561" s="18" t="s">
        <v>226</v>
      </c>
      <c r="D561" s="18" t="s">
        <v>47</v>
      </c>
      <c r="E561" s="18" t="s">
        <v>176</v>
      </c>
      <c r="F561" s="18" t="n">
        <v>2609</v>
      </c>
      <c r="G561" s="18" t="s">
        <v>125</v>
      </c>
      <c r="H561" s="18" t="s">
        <v>319</v>
      </c>
      <c r="I561" s="18" t="s">
        <v>23</v>
      </c>
      <c r="J561" s="18" t="s">
        <v>13</v>
      </c>
      <c r="K561" s="18" t="s">
        <v>186</v>
      </c>
      <c r="L561" s="18" t="s">
        <v>125</v>
      </c>
      <c r="M561" s="18" t="s">
        <v>125</v>
      </c>
      <c r="N561" s="18" t="s">
        <v>125</v>
      </c>
      <c r="O561" s="18"/>
      <c r="P561" s="19" t="n">
        <v>46232.9166666667</v>
      </c>
      <c r="Q561" s="19" t="n">
        <v>46233</v>
      </c>
      <c r="R561" s="19" t="n">
        <v>46233.375</v>
      </c>
      <c r="S561" s="20" t="n">
        <f aca="false">ROUND((Q561-P561)*24,4)</f>
        <v>2</v>
      </c>
      <c r="T561" s="18" t="str">
        <f aca="false">TEXT(P561,"YYYY-MM")</f>
        <v>2026-07</v>
      </c>
      <c r="U561" s="18" t="n">
        <f aca="false">RANK(S561,$S$2:$S$670)+COUNTIF($S$2:S561,S561)-1</f>
        <v>343</v>
      </c>
      <c r="V561" s="20" t="n">
        <f aca="false">ROUND((R561-Q561)*24,4)</f>
        <v>9</v>
      </c>
      <c r="W561" s="20" t="n">
        <f aca="false">ROUND((R561-P561)*24,4)</f>
        <v>11</v>
      </c>
      <c r="X561" s="18" t="str">
        <f aca="false">TEXT(P561,"dddd")</f>
        <v>Wednesday</v>
      </c>
      <c r="Y561" s="18" t="n">
        <f aca="false">HOUR(Q561)</f>
        <v>0</v>
      </c>
    </row>
    <row r="562" customFormat="false" ht="15" hidden="false" customHeight="false" outlineLevel="0" collapsed="false">
      <c r="A562" s="18" t="s">
        <v>36</v>
      </c>
      <c r="B562" s="18" t="s">
        <v>267</v>
      </c>
      <c r="C562" s="18" t="s">
        <v>268</v>
      </c>
      <c r="D562" s="18" t="s">
        <v>46</v>
      </c>
      <c r="E562" s="18" t="s">
        <v>176</v>
      </c>
      <c r="F562" s="18" t="n">
        <v>2612</v>
      </c>
      <c r="G562" s="18" t="s">
        <v>125</v>
      </c>
      <c r="H562" s="18" t="s">
        <v>333</v>
      </c>
      <c r="I562" s="18" t="s">
        <v>23</v>
      </c>
      <c r="J562" s="18" t="s">
        <v>13</v>
      </c>
      <c r="K562" s="18" t="s">
        <v>186</v>
      </c>
      <c r="L562" s="18" t="s">
        <v>125</v>
      </c>
      <c r="M562" s="18" t="s">
        <v>125</v>
      </c>
      <c r="N562" s="18" t="s">
        <v>125</v>
      </c>
      <c r="O562" s="18"/>
      <c r="P562" s="19" t="n">
        <v>46232.9166666667</v>
      </c>
      <c r="Q562" s="19" t="n">
        <v>46232.9583333333</v>
      </c>
      <c r="R562" s="19" t="n">
        <v>46233.2916666667</v>
      </c>
      <c r="S562" s="20" t="n">
        <f aca="false">ROUND((Q562-P562)*24,4)</f>
        <v>1</v>
      </c>
      <c r="T562" s="18" t="str">
        <f aca="false">TEXT(P562,"YYYY-MM")</f>
        <v>2026-07</v>
      </c>
      <c r="U562" s="18" t="n">
        <f aca="false">RANK(S562,$S$2:$S$670)+COUNTIF($S$2:S562,S562)-1</f>
        <v>541</v>
      </c>
      <c r="V562" s="20" t="n">
        <f aca="false">ROUND((R562-Q562)*24,4)</f>
        <v>8</v>
      </c>
      <c r="W562" s="20" t="n">
        <f aca="false">ROUND((R562-P562)*24,4)</f>
        <v>9</v>
      </c>
      <c r="X562" s="18" t="str">
        <f aca="false">TEXT(P562,"dddd")</f>
        <v>Wednesday</v>
      </c>
      <c r="Y562" s="18" t="n">
        <f aca="false">HOUR(Q562)</f>
        <v>23</v>
      </c>
    </row>
    <row r="563" customFormat="false" ht="15" hidden="false" customHeight="false" outlineLevel="0" collapsed="false">
      <c r="A563" s="18" t="s">
        <v>33</v>
      </c>
      <c r="B563" s="18" t="s">
        <v>194</v>
      </c>
      <c r="C563" s="18" t="s">
        <v>195</v>
      </c>
      <c r="D563" s="18" t="s">
        <v>46</v>
      </c>
      <c r="E563" s="18" t="s">
        <v>185</v>
      </c>
      <c r="F563" s="18" t="n">
        <v>2608</v>
      </c>
      <c r="G563" s="18" t="s">
        <v>125</v>
      </c>
      <c r="H563" s="18" t="s">
        <v>302</v>
      </c>
      <c r="I563" s="18" t="s">
        <v>23</v>
      </c>
      <c r="J563" s="18" t="s">
        <v>13</v>
      </c>
      <c r="K563" s="18" t="s">
        <v>165</v>
      </c>
      <c r="L563" s="18" t="s">
        <v>125</v>
      </c>
      <c r="M563" s="18" t="s">
        <v>144</v>
      </c>
      <c r="N563" s="18" t="s">
        <v>125</v>
      </c>
      <c r="O563" s="18"/>
      <c r="P563" s="19" t="n">
        <v>46233.8333333333</v>
      </c>
      <c r="Q563" s="19" t="n">
        <v>46233.875</v>
      </c>
      <c r="R563" s="19" t="n">
        <v>46234.2083333333</v>
      </c>
      <c r="S563" s="20" t="n">
        <f aca="false">ROUND((Q563-P563)*24,4)</f>
        <v>1</v>
      </c>
      <c r="T563" s="18" t="str">
        <f aca="false">TEXT(P563,"YYYY-MM")</f>
        <v>2026-07</v>
      </c>
      <c r="U563" s="18" t="n">
        <f aca="false">RANK(S563,$S$2:$S$670)+COUNTIF($S$2:S563,S563)-1</f>
        <v>542</v>
      </c>
      <c r="V563" s="20" t="n">
        <f aca="false">ROUND((R563-Q563)*24,4)</f>
        <v>8</v>
      </c>
      <c r="W563" s="20" t="n">
        <f aca="false">ROUND((R563-P563)*24,4)</f>
        <v>9</v>
      </c>
      <c r="X563" s="18" t="str">
        <f aca="false">TEXT(P563,"dddd")</f>
        <v>Thursday</v>
      </c>
      <c r="Y563" s="18" t="n">
        <f aca="false">HOUR(Q563)</f>
        <v>21</v>
      </c>
    </row>
    <row r="564" customFormat="false" ht="15" hidden="false" customHeight="false" outlineLevel="0" collapsed="false">
      <c r="A564" s="18" t="s">
        <v>36</v>
      </c>
      <c r="B564" s="18" t="s">
        <v>326</v>
      </c>
      <c r="C564" s="18" t="s">
        <v>327</v>
      </c>
      <c r="D564" s="18" t="s">
        <v>47</v>
      </c>
      <c r="E564" s="18" t="s">
        <v>176</v>
      </c>
      <c r="F564" s="18" t="n">
        <v>2612</v>
      </c>
      <c r="G564" s="18" t="s">
        <v>125</v>
      </c>
      <c r="H564" s="18" t="s">
        <v>333</v>
      </c>
      <c r="I564" s="18" t="s">
        <v>23</v>
      </c>
      <c r="J564" s="18" t="s">
        <v>13</v>
      </c>
      <c r="K564" s="18" t="s">
        <v>186</v>
      </c>
      <c r="L564" s="18" t="s">
        <v>125</v>
      </c>
      <c r="M564" s="18" t="s">
        <v>125</v>
      </c>
      <c r="N564" s="18" t="s">
        <v>125</v>
      </c>
      <c r="O564" s="18"/>
      <c r="P564" s="19" t="n">
        <v>46234.0416666667</v>
      </c>
      <c r="Q564" s="19" t="n">
        <v>46234.25</v>
      </c>
      <c r="R564" s="19" t="n">
        <v>46234.6666666667</v>
      </c>
      <c r="S564" s="20" t="n">
        <f aca="false">ROUND((Q564-P564)*24,4)</f>
        <v>5</v>
      </c>
      <c r="T564" s="18" t="str">
        <f aca="false">TEXT(P564,"YYYY-MM")</f>
        <v>2026-07</v>
      </c>
      <c r="U564" s="18" t="n">
        <f aca="false">RANK(S564,$S$2:$S$670)+COUNTIF($S$2:S564,S564)-1</f>
        <v>235</v>
      </c>
      <c r="V564" s="20" t="n">
        <f aca="false">ROUND((R564-Q564)*24,4)</f>
        <v>10</v>
      </c>
      <c r="W564" s="20" t="n">
        <f aca="false">ROUND((R564-P564)*24,4)</f>
        <v>15</v>
      </c>
      <c r="X564" s="18" t="str">
        <f aca="false">TEXT(P564,"dddd")</f>
        <v>Friday</v>
      </c>
      <c r="Y564" s="18" t="n">
        <f aca="false">HOUR(Q564)</f>
        <v>6</v>
      </c>
    </row>
    <row r="565" customFormat="false" ht="15" hidden="false" customHeight="false" outlineLevel="0" collapsed="false">
      <c r="A565" s="18" t="s">
        <v>33</v>
      </c>
      <c r="B565" s="18" t="s">
        <v>246</v>
      </c>
      <c r="C565" s="18" t="s">
        <v>247</v>
      </c>
      <c r="D565" s="18" t="s">
        <v>51</v>
      </c>
      <c r="E565" s="18" t="s">
        <v>163</v>
      </c>
      <c r="F565" s="18" t="n">
        <v>149</v>
      </c>
      <c r="G565" s="18" t="s">
        <v>127</v>
      </c>
      <c r="H565" s="18" t="s">
        <v>334</v>
      </c>
      <c r="I565" s="18" t="s">
        <v>23</v>
      </c>
      <c r="J565" s="18" t="s">
        <v>13</v>
      </c>
      <c r="K565" s="18" t="s">
        <v>12</v>
      </c>
      <c r="L565" s="18" t="s">
        <v>125</v>
      </c>
      <c r="M565" s="18" t="s">
        <v>125</v>
      </c>
      <c r="N565" s="18" t="s">
        <v>125</v>
      </c>
      <c r="O565" s="18"/>
      <c r="P565" s="19" t="n">
        <v>46234.5833333333</v>
      </c>
      <c r="Q565" s="19" t="n">
        <v>46234.7083333333</v>
      </c>
      <c r="R565" s="19" t="n">
        <v>46235.0416666667</v>
      </c>
      <c r="S565" s="20" t="n">
        <f aca="false">ROUND((Q565-P565)*24,4)</f>
        <v>3</v>
      </c>
      <c r="T565" s="18" t="str">
        <f aca="false">TEXT(P565,"YYYY-MM")</f>
        <v>2026-07</v>
      </c>
      <c r="U565" s="18" t="n">
        <f aca="false">RANK(S565,$S$2:$S$670)+COUNTIF($S$2:S565,S565)-1</f>
        <v>292</v>
      </c>
      <c r="V565" s="20" t="n">
        <f aca="false">ROUND((R565-Q565)*24,4)</f>
        <v>8</v>
      </c>
      <c r="W565" s="20" t="n">
        <f aca="false">ROUND((R565-P565)*24,4)</f>
        <v>11</v>
      </c>
      <c r="X565" s="18" t="str">
        <f aca="false">TEXT(P565,"dddd")</f>
        <v>Friday</v>
      </c>
      <c r="Y565" s="18" t="n">
        <f aca="false">HOUR(Q565)</f>
        <v>17</v>
      </c>
    </row>
    <row r="566" customFormat="false" ht="15" hidden="false" customHeight="false" outlineLevel="0" collapsed="false">
      <c r="A566" s="18" t="s">
        <v>33</v>
      </c>
      <c r="B566" s="18" t="s">
        <v>246</v>
      </c>
      <c r="C566" s="18" t="s">
        <v>247</v>
      </c>
      <c r="D566" s="18" t="s">
        <v>51</v>
      </c>
      <c r="E566" s="18" t="s">
        <v>176</v>
      </c>
      <c r="F566" s="18" t="n">
        <v>149</v>
      </c>
      <c r="G566" s="18" t="s">
        <v>125</v>
      </c>
      <c r="H566" s="18" t="s">
        <v>335</v>
      </c>
      <c r="I566" s="18" t="s">
        <v>18</v>
      </c>
      <c r="J566" s="18" t="s">
        <v>12</v>
      </c>
      <c r="K566" s="18" t="s">
        <v>13</v>
      </c>
      <c r="L566" s="18" t="s">
        <v>125</v>
      </c>
      <c r="M566" s="18" t="s">
        <v>125</v>
      </c>
      <c r="N566" s="18" t="s">
        <v>125</v>
      </c>
      <c r="O566" s="18"/>
      <c r="P566" s="19" t="n">
        <v>46235.125</v>
      </c>
      <c r="Q566" s="19" t="n">
        <v>46235.25</v>
      </c>
      <c r="R566" s="19" t="n">
        <v>46235.7083333333</v>
      </c>
      <c r="S566" s="20" t="n">
        <f aca="false">ROUND((Q566-P566)*24,4)</f>
        <v>3</v>
      </c>
      <c r="T566" s="18" t="str">
        <f aca="false">TEXT(P566,"YYYY-MM")</f>
        <v>2026-08</v>
      </c>
      <c r="U566" s="18" t="n">
        <f aca="false">RANK(S566,$S$2:$S$670)+COUNTIF($S$2:S566,S566)-1</f>
        <v>293</v>
      </c>
      <c r="V566" s="20" t="n">
        <f aca="false">ROUND((R566-Q566)*24,4)</f>
        <v>11</v>
      </c>
      <c r="W566" s="20" t="n">
        <f aca="false">ROUND((R566-P566)*24,4)</f>
        <v>14</v>
      </c>
      <c r="X566" s="18" t="str">
        <f aca="false">TEXT(P566,"dddd")</f>
        <v>Saturday</v>
      </c>
      <c r="Y566" s="18" t="n">
        <f aca="false">HOUR(Q566)</f>
        <v>6</v>
      </c>
    </row>
    <row r="567" customFormat="false" ht="15" hidden="false" customHeight="false" outlineLevel="0" collapsed="false">
      <c r="A567" s="18" t="s">
        <v>35</v>
      </c>
      <c r="B567" s="18" t="s">
        <v>228</v>
      </c>
      <c r="C567" s="18" t="s">
        <v>229</v>
      </c>
      <c r="D567" s="18" t="s">
        <v>52</v>
      </c>
      <c r="E567" s="18" t="s">
        <v>163</v>
      </c>
      <c r="F567" s="18" t="n">
        <v>2607</v>
      </c>
      <c r="G567" s="18" t="s">
        <v>125</v>
      </c>
      <c r="H567" s="18" t="s">
        <v>290</v>
      </c>
      <c r="I567" s="18" t="s">
        <v>24</v>
      </c>
      <c r="J567" s="18" t="s">
        <v>13</v>
      </c>
      <c r="K567" s="18" t="s">
        <v>186</v>
      </c>
      <c r="L567" s="18" t="s">
        <v>125</v>
      </c>
      <c r="M567" s="18" t="s">
        <v>125</v>
      </c>
      <c r="N567" s="18" t="s">
        <v>125</v>
      </c>
      <c r="O567" s="18"/>
      <c r="P567" s="19" t="n">
        <v>46235.3333333333</v>
      </c>
      <c r="Q567" s="19" t="n">
        <v>46235.5</v>
      </c>
      <c r="R567" s="19" t="n">
        <v>46236.0416666667</v>
      </c>
      <c r="S567" s="20" t="n">
        <f aca="false">ROUND((Q567-P567)*24,4)</f>
        <v>4</v>
      </c>
      <c r="T567" s="18" t="str">
        <f aca="false">TEXT(P567,"YYYY-MM")</f>
        <v>2026-08</v>
      </c>
      <c r="U567" s="18" t="n">
        <f aca="false">RANK(S567,$S$2:$S$670)+COUNTIF($S$2:S567,S567)-1</f>
        <v>257</v>
      </c>
      <c r="V567" s="20" t="n">
        <f aca="false">ROUND((R567-Q567)*24,4)</f>
        <v>13</v>
      </c>
      <c r="W567" s="20" t="n">
        <f aca="false">ROUND((R567-P567)*24,4)</f>
        <v>17</v>
      </c>
      <c r="X567" s="18" t="str">
        <f aca="false">TEXT(P567,"dddd")</f>
        <v>Saturday</v>
      </c>
      <c r="Y567" s="18" t="n">
        <f aca="false">HOUR(Q567)</f>
        <v>12</v>
      </c>
    </row>
    <row r="568" customFormat="false" ht="15" hidden="false" customHeight="false" outlineLevel="0" collapsed="false">
      <c r="A568" s="18" t="s">
        <v>34</v>
      </c>
      <c r="B568" s="18" t="s">
        <v>233</v>
      </c>
      <c r="C568" s="18" t="s">
        <v>234</v>
      </c>
      <c r="D568" s="18" t="s">
        <v>46</v>
      </c>
      <c r="E568" s="18" t="s">
        <v>185</v>
      </c>
      <c r="F568" s="18" t="n">
        <v>2608</v>
      </c>
      <c r="G568" s="18" t="s">
        <v>125</v>
      </c>
      <c r="H568" s="18" t="s">
        <v>302</v>
      </c>
      <c r="I568" s="18" t="s">
        <v>23</v>
      </c>
      <c r="J568" s="18" t="s">
        <v>13</v>
      </c>
      <c r="K568" s="18" t="s">
        <v>165</v>
      </c>
      <c r="L568" s="18" t="s">
        <v>125</v>
      </c>
      <c r="M568" s="18" t="s">
        <v>125</v>
      </c>
      <c r="N568" s="18" t="s">
        <v>125</v>
      </c>
      <c r="O568" s="18"/>
      <c r="P568" s="19" t="n">
        <v>46235.8458333333</v>
      </c>
      <c r="Q568" s="19" t="n">
        <v>46236.3416666667</v>
      </c>
      <c r="R568" s="19" t="n">
        <v>46236.7083333333</v>
      </c>
      <c r="S568" s="20" t="n">
        <f aca="false">ROUND((Q568-P568)*24,4)</f>
        <v>11.9</v>
      </c>
      <c r="T568" s="18" t="str">
        <f aca="false">TEXT(P568,"YYYY-MM")</f>
        <v>2026-08</v>
      </c>
      <c r="U568" s="18" t="n">
        <f aca="false">RANK(S568,$S$2:$S$670)+COUNTIF($S$2:S568,S568)-1</f>
        <v>120</v>
      </c>
      <c r="V568" s="20" t="n">
        <f aca="false">ROUND((R568-Q568)*24,4)</f>
        <v>8.8</v>
      </c>
      <c r="W568" s="20" t="n">
        <f aca="false">ROUND((R568-P568)*24,4)</f>
        <v>20.7</v>
      </c>
      <c r="X568" s="18" t="str">
        <f aca="false">TEXT(P568,"dddd")</f>
        <v>Saturday</v>
      </c>
      <c r="Y568" s="18" t="n">
        <f aca="false">HOUR(Q568)</f>
        <v>8</v>
      </c>
    </row>
    <row r="569" customFormat="false" ht="15" hidden="false" customHeight="false" outlineLevel="0" collapsed="false">
      <c r="A569" s="18" t="s">
        <v>33</v>
      </c>
      <c r="B569" s="18" t="s">
        <v>246</v>
      </c>
      <c r="C569" s="18" t="s">
        <v>247</v>
      </c>
      <c r="D569" s="18" t="s">
        <v>51</v>
      </c>
      <c r="E569" s="18" t="s">
        <v>185</v>
      </c>
      <c r="F569" s="18" t="n">
        <v>149</v>
      </c>
      <c r="G569" s="18" t="s">
        <v>125</v>
      </c>
      <c r="H569" s="18" t="s">
        <v>335</v>
      </c>
      <c r="I569" s="18" t="s">
        <v>23</v>
      </c>
      <c r="J569" s="18" t="s">
        <v>13</v>
      </c>
      <c r="K569" s="18" t="s">
        <v>165</v>
      </c>
      <c r="L569" s="18" t="s">
        <v>125</v>
      </c>
      <c r="M569" s="18" t="s">
        <v>125</v>
      </c>
      <c r="N569" s="18" t="s">
        <v>125</v>
      </c>
      <c r="O569" s="18"/>
      <c r="P569" s="19" t="n">
        <v>46235.875</v>
      </c>
      <c r="Q569" s="19" t="n">
        <v>46235.9166666667</v>
      </c>
      <c r="R569" s="19" t="n">
        <v>46236.2916666667</v>
      </c>
      <c r="S569" s="20" t="n">
        <f aca="false">ROUND((Q569-P569)*24,4)</f>
        <v>1</v>
      </c>
      <c r="T569" s="18" t="str">
        <f aca="false">TEXT(P569,"YYYY-MM")</f>
        <v>2026-08</v>
      </c>
      <c r="U569" s="18" t="n">
        <f aca="false">RANK(S569,$S$2:$S$670)+COUNTIF($S$2:S569,S569)-1</f>
        <v>543</v>
      </c>
      <c r="V569" s="20" t="n">
        <f aca="false">ROUND((R569-Q569)*24,4)</f>
        <v>9</v>
      </c>
      <c r="W569" s="20" t="n">
        <f aca="false">ROUND((R569-P569)*24,4)</f>
        <v>10</v>
      </c>
      <c r="X569" s="18" t="str">
        <f aca="false">TEXT(P569,"dddd")</f>
        <v>Saturday</v>
      </c>
      <c r="Y569" s="18" t="n">
        <f aca="false">HOUR(Q569)</f>
        <v>22</v>
      </c>
    </row>
    <row r="570" customFormat="false" ht="15" hidden="false" customHeight="false" outlineLevel="0" collapsed="false">
      <c r="A570" s="18" t="s">
        <v>34</v>
      </c>
      <c r="B570" s="18" t="s">
        <v>240</v>
      </c>
      <c r="C570" s="18" t="s">
        <v>241</v>
      </c>
      <c r="D570" s="18" t="s">
        <v>50</v>
      </c>
      <c r="E570" s="18" t="s">
        <v>163</v>
      </c>
      <c r="F570" s="18" t="n">
        <v>2609</v>
      </c>
      <c r="G570" s="18" t="s">
        <v>127</v>
      </c>
      <c r="H570" s="18" t="s">
        <v>318</v>
      </c>
      <c r="I570" s="18" t="s">
        <v>23</v>
      </c>
      <c r="J570" s="18" t="s">
        <v>13</v>
      </c>
      <c r="K570" s="18" t="s">
        <v>12</v>
      </c>
      <c r="L570" s="18" t="s">
        <v>125</v>
      </c>
      <c r="M570" s="18" t="s">
        <v>125</v>
      </c>
      <c r="N570" s="18" t="s">
        <v>125</v>
      </c>
      <c r="O570" s="18"/>
      <c r="P570" s="19" t="n">
        <v>46236.9166666667</v>
      </c>
      <c r="Q570" s="19" t="n">
        <v>46236.9583333333</v>
      </c>
      <c r="R570" s="19" t="n">
        <v>46237.25</v>
      </c>
      <c r="S570" s="20" t="n">
        <f aca="false">ROUND((Q570-P570)*24,4)</f>
        <v>1</v>
      </c>
      <c r="T570" s="18" t="str">
        <f aca="false">TEXT(P570,"YYYY-MM")</f>
        <v>2026-08</v>
      </c>
      <c r="U570" s="18" t="n">
        <f aca="false">RANK(S570,$S$2:$S$670)+COUNTIF($S$2:S570,S570)-1</f>
        <v>544</v>
      </c>
      <c r="V570" s="20" t="n">
        <f aca="false">ROUND((R570-Q570)*24,4)</f>
        <v>7</v>
      </c>
      <c r="W570" s="20" t="n">
        <f aca="false">ROUND((R570-P570)*24,4)</f>
        <v>8</v>
      </c>
      <c r="X570" s="18" t="str">
        <f aca="false">TEXT(P570,"dddd")</f>
        <v>Sunday</v>
      </c>
      <c r="Y570" s="18" t="n">
        <f aca="false">HOUR(Q570)</f>
        <v>23</v>
      </c>
    </row>
    <row r="571" customFormat="false" ht="15" hidden="false" customHeight="false" outlineLevel="0" collapsed="false">
      <c r="A571" s="18" t="s">
        <v>34</v>
      </c>
      <c r="B571" s="18" t="s">
        <v>240</v>
      </c>
      <c r="C571" s="18" t="s">
        <v>241</v>
      </c>
      <c r="D571" s="18" t="s">
        <v>50</v>
      </c>
      <c r="E571" s="18" t="s">
        <v>176</v>
      </c>
      <c r="F571" s="18" t="n">
        <v>2609</v>
      </c>
      <c r="G571" s="18" t="s">
        <v>125</v>
      </c>
      <c r="H571" s="18" t="s">
        <v>319</v>
      </c>
      <c r="I571" s="18" t="s">
        <v>17</v>
      </c>
      <c r="J571" s="18" t="s">
        <v>12</v>
      </c>
      <c r="K571" s="18" t="s">
        <v>13</v>
      </c>
      <c r="L571" s="18" t="s">
        <v>125</v>
      </c>
      <c r="M571" s="18" t="s">
        <v>125</v>
      </c>
      <c r="N571" s="18" t="s">
        <v>125</v>
      </c>
      <c r="O571" s="18"/>
      <c r="P571" s="19" t="n">
        <v>46237.3333333333</v>
      </c>
      <c r="Q571" s="19" t="n">
        <v>46237.9166666667</v>
      </c>
      <c r="R571" s="19" t="n">
        <v>46239.75</v>
      </c>
      <c r="S571" s="20" t="n">
        <f aca="false">ROUND((Q571-P571)*24,4)</f>
        <v>14</v>
      </c>
      <c r="T571" s="18" t="str">
        <f aca="false">TEXT(P571,"YYYY-MM")</f>
        <v>2026-08</v>
      </c>
      <c r="U571" s="18" t="n">
        <f aca="false">RANK(S571,$S$2:$S$670)+COUNTIF($S$2:S571,S571)-1</f>
        <v>98</v>
      </c>
      <c r="V571" s="20" t="n">
        <f aca="false">ROUND((R571-Q571)*24,4)</f>
        <v>44</v>
      </c>
      <c r="W571" s="20" t="n">
        <f aca="false">ROUND((R571-P571)*24,4)</f>
        <v>58</v>
      </c>
      <c r="X571" s="18" t="str">
        <f aca="false">TEXT(P571,"dddd")</f>
        <v>Monday</v>
      </c>
      <c r="Y571" s="18" t="n">
        <f aca="false">HOUR(Q571)</f>
        <v>22</v>
      </c>
    </row>
    <row r="572" customFormat="false" ht="15" hidden="false" customHeight="false" outlineLevel="0" collapsed="false">
      <c r="A572" s="18" t="s">
        <v>34</v>
      </c>
      <c r="B572" s="18" t="s">
        <v>223</v>
      </c>
      <c r="C572" s="18" t="s">
        <v>224</v>
      </c>
      <c r="D572" s="18" t="s">
        <v>47</v>
      </c>
      <c r="E572" s="18" t="s">
        <v>163</v>
      </c>
      <c r="F572" s="18" t="n">
        <v>2608</v>
      </c>
      <c r="G572" s="18" t="s">
        <v>127</v>
      </c>
      <c r="H572" s="18" t="s">
        <v>301</v>
      </c>
      <c r="I572" s="18" t="s">
        <v>23</v>
      </c>
      <c r="J572" s="18" t="s">
        <v>13</v>
      </c>
      <c r="K572" s="18" t="s">
        <v>12</v>
      </c>
      <c r="L572" s="18" t="s">
        <v>125</v>
      </c>
      <c r="M572" s="18" t="s">
        <v>125</v>
      </c>
      <c r="N572" s="18" t="s">
        <v>125</v>
      </c>
      <c r="O572" s="18"/>
      <c r="P572" s="19" t="n">
        <v>46237.375</v>
      </c>
      <c r="Q572" s="19" t="n">
        <v>46237.4166666667</v>
      </c>
      <c r="R572" s="19" t="n">
        <v>46237.7291666667</v>
      </c>
      <c r="S572" s="20" t="n">
        <f aca="false">ROUND((Q572-P572)*24,4)</f>
        <v>1</v>
      </c>
      <c r="T572" s="18" t="str">
        <f aca="false">TEXT(P572,"YYYY-MM")</f>
        <v>2026-08</v>
      </c>
      <c r="U572" s="18" t="n">
        <f aca="false">RANK(S572,$S$2:$S$670)+COUNTIF($S$2:S572,S572)-1</f>
        <v>545</v>
      </c>
      <c r="V572" s="20" t="n">
        <f aca="false">ROUND((R572-Q572)*24,4)</f>
        <v>7.5</v>
      </c>
      <c r="W572" s="20" t="n">
        <f aca="false">ROUND((R572-P572)*24,4)</f>
        <v>8.5</v>
      </c>
      <c r="X572" s="18" t="str">
        <f aca="false">TEXT(P572,"dddd")</f>
        <v>Monday</v>
      </c>
      <c r="Y572" s="18" t="n">
        <f aca="false">HOUR(Q572)</f>
        <v>10</v>
      </c>
    </row>
    <row r="573" customFormat="false" ht="15" hidden="false" customHeight="false" outlineLevel="0" collapsed="false">
      <c r="A573" s="18" t="s">
        <v>34</v>
      </c>
      <c r="B573" s="18" t="s">
        <v>223</v>
      </c>
      <c r="C573" s="18" t="s">
        <v>224</v>
      </c>
      <c r="D573" s="18" t="s">
        <v>47</v>
      </c>
      <c r="E573" s="18" t="s">
        <v>176</v>
      </c>
      <c r="F573" s="18" t="n">
        <v>2608</v>
      </c>
      <c r="G573" s="18" t="s">
        <v>125</v>
      </c>
      <c r="H573" s="18" t="s">
        <v>302</v>
      </c>
      <c r="I573" s="18" t="s">
        <v>17</v>
      </c>
      <c r="J573" s="18" t="s">
        <v>12</v>
      </c>
      <c r="K573" s="18" t="s">
        <v>13</v>
      </c>
      <c r="L573" s="18" t="s">
        <v>125</v>
      </c>
      <c r="M573" s="18" t="s">
        <v>125</v>
      </c>
      <c r="N573" s="18" t="s">
        <v>125</v>
      </c>
      <c r="O573" s="18"/>
      <c r="P573" s="19" t="n">
        <v>46237.8125</v>
      </c>
      <c r="Q573" s="19" t="n">
        <v>46237.8958333333</v>
      </c>
      <c r="R573" s="19" t="n">
        <v>46239.25</v>
      </c>
      <c r="S573" s="20" t="n">
        <f aca="false">ROUND((Q573-P573)*24,4)</f>
        <v>2</v>
      </c>
      <c r="T573" s="18" t="str">
        <f aca="false">TEXT(P573,"YYYY-MM")</f>
        <v>2026-08</v>
      </c>
      <c r="U573" s="18" t="n">
        <f aca="false">RANK(S573,$S$2:$S$670)+COUNTIF($S$2:S573,S573)-1</f>
        <v>344</v>
      </c>
      <c r="V573" s="20" t="n">
        <f aca="false">ROUND((R573-Q573)*24,4)</f>
        <v>32.5</v>
      </c>
      <c r="W573" s="20" t="n">
        <f aca="false">ROUND((R573-P573)*24,4)</f>
        <v>34.5</v>
      </c>
      <c r="X573" s="18" t="str">
        <f aca="false">TEXT(P573,"dddd")</f>
        <v>Monday</v>
      </c>
      <c r="Y573" s="18" t="n">
        <f aca="false">HOUR(Q573)</f>
        <v>21</v>
      </c>
    </row>
    <row r="574" customFormat="false" ht="15" hidden="false" customHeight="false" outlineLevel="0" collapsed="false">
      <c r="A574" s="18" t="s">
        <v>38</v>
      </c>
      <c r="B574" s="18" t="s">
        <v>255</v>
      </c>
      <c r="C574" s="18" t="s">
        <v>256</v>
      </c>
      <c r="D574" s="18" t="s">
        <v>46</v>
      </c>
      <c r="E574" s="18" t="s">
        <v>163</v>
      </c>
      <c r="F574" s="18" t="n">
        <v>2606</v>
      </c>
      <c r="G574" s="18" t="s">
        <v>127</v>
      </c>
      <c r="H574" s="18" t="s">
        <v>269</v>
      </c>
      <c r="I574" s="18" t="s">
        <v>23</v>
      </c>
      <c r="J574" s="18" t="s">
        <v>13</v>
      </c>
      <c r="K574" s="18" t="s">
        <v>181</v>
      </c>
      <c r="L574" s="18" t="s">
        <v>125</v>
      </c>
      <c r="M574" s="18" t="s">
        <v>125</v>
      </c>
      <c r="N574" s="18" t="s">
        <v>125</v>
      </c>
      <c r="O574" s="18"/>
      <c r="P574" s="19" t="n">
        <v>46238.1666666667</v>
      </c>
      <c r="Q574" s="19" t="n">
        <v>46238.2</v>
      </c>
      <c r="R574" s="19" t="n">
        <v>46239.1708333333</v>
      </c>
      <c r="S574" s="20" t="n">
        <f aca="false">ROUND((Q574-P574)*24,4)</f>
        <v>0.8</v>
      </c>
      <c r="T574" s="18" t="str">
        <f aca="false">TEXT(P574,"YYYY-MM")</f>
        <v>2026-08</v>
      </c>
      <c r="U574" s="18" t="n">
        <f aca="false">RANK(S574,$S$2:$S$670)+COUNTIF($S$2:S574,S574)-1</f>
        <v>587</v>
      </c>
      <c r="V574" s="20" t="n">
        <f aca="false">ROUND((R574-Q574)*24,4)</f>
        <v>23.3</v>
      </c>
      <c r="W574" s="20" t="n">
        <f aca="false">ROUND((R574-P574)*24,4)</f>
        <v>24.1</v>
      </c>
      <c r="X574" s="18" t="str">
        <f aca="false">TEXT(P574,"dddd")</f>
        <v>Tuesday</v>
      </c>
      <c r="Y574" s="18" t="n">
        <f aca="false">HOUR(Q574)</f>
        <v>4</v>
      </c>
    </row>
    <row r="575" customFormat="false" ht="15" hidden="false" customHeight="false" outlineLevel="0" collapsed="false">
      <c r="A575" s="18" t="s">
        <v>34</v>
      </c>
      <c r="B575" s="18" t="s">
        <v>223</v>
      </c>
      <c r="C575" s="18" t="s">
        <v>224</v>
      </c>
      <c r="D575" s="18" t="s">
        <v>47</v>
      </c>
      <c r="E575" s="18" t="s">
        <v>185</v>
      </c>
      <c r="F575" s="18" t="n">
        <v>2608</v>
      </c>
      <c r="G575" s="18" t="s">
        <v>125</v>
      </c>
      <c r="H575" s="18" t="s">
        <v>302</v>
      </c>
      <c r="I575" s="18" t="s">
        <v>23</v>
      </c>
      <c r="J575" s="18" t="s">
        <v>13</v>
      </c>
      <c r="K575" s="18" t="s">
        <v>165</v>
      </c>
      <c r="L575" s="18" t="s">
        <v>125</v>
      </c>
      <c r="M575" s="18" t="s">
        <v>125</v>
      </c>
      <c r="N575" s="18" t="s">
        <v>125</v>
      </c>
      <c r="O575" s="18"/>
      <c r="P575" s="19" t="n">
        <v>46239.4583333333</v>
      </c>
      <c r="Q575" s="19" t="n">
        <v>46239.5</v>
      </c>
      <c r="R575" s="19" t="n">
        <v>46239.8333333333</v>
      </c>
      <c r="S575" s="20" t="n">
        <f aca="false">ROUND((Q575-P575)*24,4)</f>
        <v>1</v>
      </c>
      <c r="T575" s="18" t="str">
        <f aca="false">TEXT(P575,"YYYY-MM")</f>
        <v>2026-08</v>
      </c>
      <c r="U575" s="18" t="n">
        <f aca="false">RANK(S575,$S$2:$S$670)+COUNTIF($S$2:S575,S575)-1</f>
        <v>546</v>
      </c>
      <c r="V575" s="20" t="n">
        <f aca="false">ROUND((R575-Q575)*24,4)</f>
        <v>8</v>
      </c>
      <c r="W575" s="20" t="n">
        <f aca="false">ROUND((R575-P575)*24,4)</f>
        <v>9</v>
      </c>
      <c r="X575" s="18" t="str">
        <f aca="false">TEXT(P575,"dddd")</f>
        <v>Wednesday</v>
      </c>
      <c r="Y575" s="18" t="n">
        <f aca="false">HOUR(Q575)</f>
        <v>12</v>
      </c>
    </row>
    <row r="576" customFormat="false" ht="15" hidden="false" customHeight="false" outlineLevel="0" collapsed="false">
      <c r="A576" s="18" t="s">
        <v>33</v>
      </c>
      <c r="B576" s="18" t="s">
        <v>174</v>
      </c>
      <c r="C576" s="18" t="s">
        <v>175</v>
      </c>
      <c r="D576" s="18" t="s">
        <v>49</v>
      </c>
      <c r="E576" s="18" t="s">
        <v>163</v>
      </c>
      <c r="F576" s="18" t="n">
        <v>2609</v>
      </c>
      <c r="G576" s="18" t="s">
        <v>127</v>
      </c>
      <c r="H576" s="18" t="s">
        <v>318</v>
      </c>
      <c r="I576" s="18" t="s">
        <v>23</v>
      </c>
      <c r="J576" s="18" t="s">
        <v>13</v>
      </c>
      <c r="K576" s="18" t="s">
        <v>12</v>
      </c>
      <c r="L576" s="18" t="s">
        <v>125</v>
      </c>
      <c r="M576" s="18" t="s">
        <v>125</v>
      </c>
      <c r="N576" s="18" t="s">
        <v>125</v>
      </c>
      <c r="O576" s="18"/>
      <c r="P576" s="19" t="n">
        <v>46239.8125</v>
      </c>
      <c r="Q576" s="19" t="n">
        <v>46239.9791666667</v>
      </c>
      <c r="R576" s="19" t="n">
        <v>46240.375</v>
      </c>
      <c r="S576" s="20" t="n">
        <f aca="false">ROUND((Q576-P576)*24,4)</f>
        <v>4</v>
      </c>
      <c r="T576" s="18" t="str">
        <f aca="false">TEXT(P576,"YYYY-MM")</f>
        <v>2026-08</v>
      </c>
      <c r="U576" s="18" t="n">
        <f aca="false">RANK(S576,$S$2:$S$670)+COUNTIF($S$2:S576,S576)-1</f>
        <v>258</v>
      </c>
      <c r="V576" s="20" t="n">
        <f aca="false">ROUND((R576-Q576)*24,4)</f>
        <v>9.5</v>
      </c>
      <c r="W576" s="20" t="n">
        <f aca="false">ROUND((R576-P576)*24,4)</f>
        <v>13.5</v>
      </c>
      <c r="X576" s="18" t="str">
        <f aca="false">TEXT(P576,"dddd")</f>
        <v>Wednesday</v>
      </c>
      <c r="Y576" s="18" t="n">
        <f aca="false">HOUR(Q576)</f>
        <v>23</v>
      </c>
    </row>
    <row r="577" customFormat="false" ht="15" hidden="false" customHeight="false" outlineLevel="0" collapsed="false">
      <c r="A577" s="18" t="s">
        <v>34</v>
      </c>
      <c r="B577" s="18" t="s">
        <v>240</v>
      </c>
      <c r="C577" s="18" t="s">
        <v>241</v>
      </c>
      <c r="D577" s="18" t="s">
        <v>50</v>
      </c>
      <c r="E577" s="18" t="s">
        <v>185</v>
      </c>
      <c r="F577" s="18" t="n">
        <v>2609</v>
      </c>
      <c r="G577" s="18" t="s">
        <v>125</v>
      </c>
      <c r="H577" s="18" t="s">
        <v>319</v>
      </c>
      <c r="I577" s="18" t="s">
        <v>23</v>
      </c>
      <c r="J577" s="18" t="s">
        <v>13</v>
      </c>
      <c r="K577" s="18" t="s">
        <v>165</v>
      </c>
      <c r="L577" s="18" t="s">
        <v>125</v>
      </c>
      <c r="M577" s="18" t="s">
        <v>125</v>
      </c>
      <c r="N577" s="18" t="s">
        <v>125</v>
      </c>
      <c r="O577" s="18"/>
      <c r="P577" s="19" t="n">
        <v>46239.9583333333</v>
      </c>
      <c r="Q577" s="19" t="n">
        <v>46240.4166666667</v>
      </c>
      <c r="R577" s="19" t="n">
        <v>46240.7625</v>
      </c>
      <c r="S577" s="20" t="n">
        <f aca="false">ROUND((Q577-P577)*24,4)</f>
        <v>11</v>
      </c>
      <c r="T577" s="18" t="str">
        <f aca="false">TEXT(P577,"YYYY-MM")</f>
        <v>2026-08</v>
      </c>
      <c r="U577" s="18" t="n">
        <f aca="false">RANK(S577,$S$2:$S$670)+COUNTIF($S$2:S577,S577)-1</f>
        <v>129</v>
      </c>
      <c r="V577" s="20" t="n">
        <f aca="false">ROUND((R577-Q577)*24,4)</f>
        <v>8.3</v>
      </c>
      <c r="W577" s="20" t="n">
        <f aca="false">ROUND((R577-P577)*24,4)</f>
        <v>19.3</v>
      </c>
      <c r="X577" s="18" t="str">
        <f aca="false">TEXT(P577,"dddd")</f>
        <v>Wednesday</v>
      </c>
      <c r="Y577" s="18" t="n">
        <f aca="false">HOUR(Q577)</f>
        <v>10</v>
      </c>
    </row>
    <row r="578" customFormat="false" ht="15" hidden="false" customHeight="false" outlineLevel="0" collapsed="false">
      <c r="A578" s="18" t="s">
        <v>33</v>
      </c>
      <c r="B578" s="18" t="s">
        <v>174</v>
      </c>
      <c r="C578" s="18" t="s">
        <v>175</v>
      </c>
      <c r="D578" s="18" t="s">
        <v>49</v>
      </c>
      <c r="E578" s="18" t="s">
        <v>176</v>
      </c>
      <c r="F578" s="18" t="n">
        <v>2609</v>
      </c>
      <c r="G578" s="18" t="s">
        <v>125</v>
      </c>
      <c r="H578" s="18" t="s">
        <v>319</v>
      </c>
      <c r="I578" s="18" t="s">
        <v>18</v>
      </c>
      <c r="J578" s="18" t="s">
        <v>12</v>
      </c>
      <c r="K578" s="18" t="s">
        <v>13</v>
      </c>
      <c r="L578" s="18" t="s">
        <v>125</v>
      </c>
      <c r="M578" s="18" t="s">
        <v>125</v>
      </c>
      <c r="N578" s="18" t="s">
        <v>125</v>
      </c>
      <c r="O578" s="18"/>
      <c r="P578" s="19" t="n">
        <v>46240.4583333333</v>
      </c>
      <c r="Q578" s="19" t="n">
        <v>46240.5416666667</v>
      </c>
      <c r="R578" s="19" t="n">
        <v>46241.4166666667</v>
      </c>
      <c r="S578" s="20" t="n">
        <f aca="false">ROUND((Q578-P578)*24,4)</f>
        <v>2</v>
      </c>
      <c r="T578" s="18" t="str">
        <f aca="false">TEXT(P578,"YYYY-MM")</f>
        <v>2026-08</v>
      </c>
      <c r="U578" s="18" t="n">
        <f aca="false">RANK(S578,$S$2:$S$670)+COUNTIF($S$2:S578,S578)-1</f>
        <v>345</v>
      </c>
      <c r="V578" s="20" t="n">
        <f aca="false">ROUND((R578-Q578)*24,4)</f>
        <v>21</v>
      </c>
      <c r="W578" s="20" t="n">
        <f aca="false">ROUND((R578-P578)*24,4)</f>
        <v>23</v>
      </c>
      <c r="X578" s="18" t="str">
        <f aca="false">TEXT(P578,"dddd")</f>
        <v>Thursday</v>
      </c>
      <c r="Y578" s="18" t="n">
        <f aca="false">HOUR(Q578)</f>
        <v>13</v>
      </c>
    </row>
    <row r="579" customFormat="false" ht="15" hidden="false" customHeight="false" outlineLevel="0" collapsed="false">
      <c r="A579" s="18" t="s">
        <v>35</v>
      </c>
      <c r="B579" s="18" t="s">
        <v>166</v>
      </c>
      <c r="C579" s="18" t="s">
        <v>167</v>
      </c>
      <c r="D579" s="18" t="s">
        <v>47</v>
      </c>
      <c r="E579" s="18" t="s">
        <v>198</v>
      </c>
      <c r="F579" s="18" t="n">
        <v>2608</v>
      </c>
      <c r="G579" s="18" t="s">
        <v>127</v>
      </c>
      <c r="H579" s="18" t="s">
        <v>301</v>
      </c>
      <c r="I579" s="18" t="s">
        <v>24</v>
      </c>
      <c r="J579" s="18" t="s">
        <v>13</v>
      </c>
      <c r="K579" s="18" t="s">
        <v>12</v>
      </c>
      <c r="L579" s="18" t="s">
        <v>125</v>
      </c>
      <c r="M579" s="18" t="s">
        <v>125</v>
      </c>
      <c r="N579" s="18" t="s">
        <v>144</v>
      </c>
      <c r="O579" s="18"/>
      <c r="P579" s="19" t="n">
        <v>46240.5</v>
      </c>
      <c r="Q579" s="19" t="n">
        <v>46240.5833333333</v>
      </c>
      <c r="R579" s="19" t="n">
        <v>46240.9166666667</v>
      </c>
      <c r="S579" s="20" t="n">
        <f aca="false">ROUND((Q579-P579)*24,4)</f>
        <v>2</v>
      </c>
      <c r="T579" s="18" t="str">
        <f aca="false">TEXT(P579,"YYYY-MM")</f>
        <v>2026-08</v>
      </c>
      <c r="U579" s="18" t="n">
        <f aca="false">RANK(S579,$S$2:$S$670)+COUNTIF($S$2:S579,S579)-1</f>
        <v>346</v>
      </c>
      <c r="V579" s="20" t="n">
        <f aca="false">ROUND((R579-Q579)*24,4)</f>
        <v>8</v>
      </c>
      <c r="W579" s="20" t="n">
        <f aca="false">ROUND((R579-P579)*24,4)</f>
        <v>10</v>
      </c>
      <c r="X579" s="18" t="str">
        <f aca="false">TEXT(P579,"dddd")</f>
        <v>Thursday</v>
      </c>
      <c r="Y579" s="18" t="n">
        <f aca="false">HOUR(Q579)</f>
        <v>14</v>
      </c>
    </row>
    <row r="580" customFormat="false" ht="15" hidden="false" customHeight="false" outlineLevel="0" collapsed="false">
      <c r="A580" s="18" t="s">
        <v>32</v>
      </c>
      <c r="B580" s="18" t="s">
        <v>182</v>
      </c>
      <c r="C580" s="18" t="s">
        <v>183</v>
      </c>
      <c r="D580" s="18" t="s">
        <v>48</v>
      </c>
      <c r="E580" s="18" t="s">
        <v>168</v>
      </c>
      <c r="F580" s="18" t="n">
        <v>2609</v>
      </c>
      <c r="G580" s="18" t="s">
        <v>127</v>
      </c>
      <c r="H580" s="18" t="s">
        <v>318</v>
      </c>
      <c r="I580" s="18" t="s">
        <v>23</v>
      </c>
      <c r="J580" s="18" t="s">
        <v>13</v>
      </c>
      <c r="K580" s="18" t="s">
        <v>12</v>
      </c>
      <c r="L580" s="18" t="s">
        <v>125</v>
      </c>
      <c r="M580" s="18" t="s">
        <v>125</v>
      </c>
      <c r="N580" s="18" t="s">
        <v>125</v>
      </c>
      <c r="O580" s="18"/>
      <c r="P580" s="19" t="n">
        <v>46240.6666666667</v>
      </c>
      <c r="Q580" s="19" t="n">
        <v>46240.875</v>
      </c>
      <c r="R580" s="19" t="n">
        <v>46241.125</v>
      </c>
      <c r="S580" s="20" t="n">
        <f aca="false">ROUND((Q580-P580)*24,4)</f>
        <v>5</v>
      </c>
      <c r="T580" s="18" t="str">
        <f aca="false">TEXT(P580,"YYYY-MM")</f>
        <v>2026-08</v>
      </c>
      <c r="U580" s="18" t="n">
        <f aca="false">RANK(S580,$S$2:$S$670)+COUNTIF($S$2:S580,S580)-1</f>
        <v>236</v>
      </c>
      <c r="V580" s="20" t="n">
        <f aca="false">ROUND((R580-Q580)*24,4)</f>
        <v>6</v>
      </c>
      <c r="W580" s="20" t="n">
        <f aca="false">ROUND((R580-P580)*24,4)</f>
        <v>11</v>
      </c>
      <c r="X580" s="18" t="str">
        <f aca="false">TEXT(P580,"dddd")</f>
        <v>Thursday</v>
      </c>
      <c r="Y580" s="18" t="n">
        <f aca="false">HOUR(Q580)</f>
        <v>21</v>
      </c>
    </row>
    <row r="581" customFormat="false" ht="15" hidden="false" customHeight="false" outlineLevel="0" collapsed="false">
      <c r="A581" s="18" t="s">
        <v>35</v>
      </c>
      <c r="B581" s="18" t="s">
        <v>166</v>
      </c>
      <c r="C581" s="18" t="s">
        <v>167</v>
      </c>
      <c r="D581" s="18" t="s">
        <v>47</v>
      </c>
      <c r="E581" s="18" t="s">
        <v>168</v>
      </c>
      <c r="F581" s="18" t="n">
        <v>2608</v>
      </c>
      <c r="G581" s="18" t="s">
        <v>125</v>
      </c>
      <c r="H581" s="18" t="s">
        <v>302</v>
      </c>
      <c r="I581" s="18" t="s">
        <v>19</v>
      </c>
      <c r="J581" s="18" t="s">
        <v>12</v>
      </c>
      <c r="K581" s="18" t="s">
        <v>13</v>
      </c>
      <c r="L581" s="18" t="s">
        <v>125</v>
      </c>
      <c r="M581" s="18" t="s">
        <v>125</v>
      </c>
      <c r="N581" s="18" t="s">
        <v>125</v>
      </c>
      <c r="O581" s="18"/>
      <c r="P581" s="19" t="n">
        <v>46241.0833333333</v>
      </c>
      <c r="Q581" s="19" t="n">
        <v>46241.9166666667</v>
      </c>
      <c r="R581" s="19" t="n">
        <v>46243.5</v>
      </c>
      <c r="S581" s="20" t="n">
        <f aca="false">ROUND((Q581-P581)*24,4)</f>
        <v>20</v>
      </c>
      <c r="T581" s="18" t="str">
        <f aca="false">TEXT(P581,"YYYY-MM")</f>
        <v>2026-08</v>
      </c>
      <c r="U581" s="18" t="n">
        <f aca="false">RANK(S581,$S$2:$S$670)+COUNTIF($S$2:S581,S581)-1</f>
        <v>49</v>
      </c>
      <c r="V581" s="20" t="n">
        <f aca="false">ROUND((R581-Q581)*24,4)</f>
        <v>38</v>
      </c>
      <c r="W581" s="20" t="n">
        <f aca="false">ROUND((R581-P581)*24,4)</f>
        <v>58</v>
      </c>
      <c r="X581" s="18" t="str">
        <f aca="false">TEXT(P581,"dddd")</f>
        <v>Friday</v>
      </c>
      <c r="Y581" s="18" t="n">
        <f aca="false">HOUR(Q581)</f>
        <v>22</v>
      </c>
    </row>
    <row r="582" customFormat="false" ht="15" hidden="false" customHeight="false" outlineLevel="0" collapsed="false">
      <c r="A582" s="18" t="s">
        <v>32</v>
      </c>
      <c r="B582" s="18" t="s">
        <v>182</v>
      </c>
      <c r="C582" s="18" t="s">
        <v>183</v>
      </c>
      <c r="D582" s="18" t="s">
        <v>48</v>
      </c>
      <c r="E582" s="18" t="s">
        <v>163</v>
      </c>
      <c r="F582" s="18" t="n">
        <v>2609</v>
      </c>
      <c r="G582" s="18" t="s">
        <v>125</v>
      </c>
      <c r="H582" s="18" t="s">
        <v>319</v>
      </c>
      <c r="I582" s="18" t="s">
        <v>17</v>
      </c>
      <c r="J582" s="18" t="s">
        <v>12</v>
      </c>
      <c r="K582" s="18" t="s">
        <v>13</v>
      </c>
      <c r="L582" s="18" t="s">
        <v>125</v>
      </c>
      <c r="M582" s="18" t="s">
        <v>125</v>
      </c>
      <c r="N582" s="18" t="s">
        <v>125</v>
      </c>
      <c r="O582" s="18"/>
      <c r="P582" s="19" t="n">
        <v>46241.2083333333</v>
      </c>
      <c r="Q582" s="19" t="n">
        <v>46241.75</v>
      </c>
      <c r="R582" s="19" t="n">
        <v>46243.5</v>
      </c>
      <c r="S582" s="20" t="n">
        <f aca="false">ROUND((Q582-P582)*24,4)</f>
        <v>13</v>
      </c>
      <c r="T582" s="18" t="str">
        <f aca="false">TEXT(P582,"YYYY-MM")</f>
        <v>2026-08</v>
      </c>
      <c r="U582" s="18" t="n">
        <f aca="false">RANK(S582,$S$2:$S$670)+COUNTIF($S$2:S582,S582)-1</f>
        <v>111</v>
      </c>
      <c r="V582" s="20" t="n">
        <f aca="false">ROUND((R582-Q582)*24,4)</f>
        <v>42</v>
      </c>
      <c r="W582" s="20" t="n">
        <f aca="false">ROUND((R582-P582)*24,4)</f>
        <v>55</v>
      </c>
      <c r="X582" s="18" t="str">
        <f aca="false">TEXT(P582,"dddd")</f>
        <v>Friday</v>
      </c>
      <c r="Y582" s="18" t="n">
        <f aca="false">HOUR(Q582)</f>
        <v>18</v>
      </c>
    </row>
    <row r="583" customFormat="false" ht="15" hidden="false" customHeight="false" outlineLevel="0" collapsed="false">
      <c r="A583" s="18" t="s">
        <v>33</v>
      </c>
      <c r="B583" s="18" t="s">
        <v>174</v>
      </c>
      <c r="C583" s="18" t="s">
        <v>175</v>
      </c>
      <c r="D583" s="18" t="s">
        <v>49</v>
      </c>
      <c r="E583" s="18" t="s">
        <v>185</v>
      </c>
      <c r="F583" s="18" t="n">
        <v>2609</v>
      </c>
      <c r="G583" s="18" t="s">
        <v>125</v>
      </c>
      <c r="H583" s="18" t="s">
        <v>319</v>
      </c>
      <c r="I583" s="18" t="s">
        <v>23</v>
      </c>
      <c r="J583" s="18" t="s">
        <v>13</v>
      </c>
      <c r="K583" s="18" t="s">
        <v>165</v>
      </c>
      <c r="L583" s="18" t="s">
        <v>125</v>
      </c>
      <c r="M583" s="18" t="s">
        <v>125</v>
      </c>
      <c r="N583" s="18" t="s">
        <v>125</v>
      </c>
      <c r="O583" s="18"/>
      <c r="P583" s="19" t="n">
        <v>46241.5833333333</v>
      </c>
      <c r="Q583" s="19" t="n">
        <v>46241.9166666667</v>
      </c>
      <c r="R583" s="19" t="n">
        <v>46242.3333333333</v>
      </c>
      <c r="S583" s="20" t="n">
        <f aca="false">ROUND((Q583-P583)*24,4)</f>
        <v>8</v>
      </c>
      <c r="T583" s="18" t="str">
        <f aca="false">TEXT(P583,"YYYY-MM")</f>
        <v>2026-08</v>
      </c>
      <c r="U583" s="18" t="n">
        <f aca="false">RANK(S583,$S$2:$S$670)+COUNTIF($S$2:S583,S583)-1</f>
        <v>177</v>
      </c>
      <c r="V583" s="20" t="n">
        <f aca="false">ROUND((R583-Q583)*24,4)</f>
        <v>10</v>
      </c>
      <c r="W583" s="20" t="n">
        <f aca="false">ROUND((R583-P583)*24,4)</f>
        <v>18</v>
      </c>
      <c r="X583" s="18" t="str">
        <f aca="false">TEXT(P583,"dddd")</f>
        <v>Friday</v>
      </c>
      <c r="Y583" s="18" t="n">
        <f aca="false">HOUR(Q583)</f>
        <v>22</v>
      </c>
    </row>
    <row r="584" customFormat="false" ht="15" hidden="false" customHeight="false" outlineLevel="0" collapsed="false">
      <c r="A584" s="18" t="s">
        <v>35</v>
      </c>
      <c r="B584" s="18" t="s">
        <v>166</v>
      </c>
      <c r="C584" s="18" t="s">
        <v>167</v>
      </c>
      <c r="D584" s="18" t="s">
        <v>47</v>
      </c>
      <c r="E584" s="18" t="s">
        <v>163</v>
      </c>
      <c r="F584" s="18" t="n">
        <v>2608</v>
      </c>
      <c r="G584" s="18" t="s">
        <v>125</v>
      </c>
      <c r="H584" s="18" t="s">
        <v>302</v>
      </c>
      <c r="I584" s="18" t="s">
        <v>24</v>
      </c>
      <c r="J584" s="18" t="s">
        <v>13</v>
      </c>
      <c r="K584" s="18" t="s">
        <v>186</v>
      </c>
      <c r="L584" s="18" t="s">
        <v>125</v>
      </c>
      <c r="M584" s="18" t="s">
        <v>144</v>
      </c>
      <c r="N584" s="18" t="s">
        <v>125</v>
      </c>
      <c r="O584" s="18"/>
      <c r="P584" s="19" t="n">
        <v>46243.625</v>
      </c>
      <c r="Q584" s="19" t="n">
        <v>46244.0625</v>
      </c>
      <c r="R584" s="19" t="n">
        <v>46244.5416666667</v>
      </c>
      <c r="S584" s="20" t="n">
        <f aca="false">ROUND((Q584-P584)*24,4)</f>
        <v>10.5</v>
      </c>
      <c r="T584" s="18" t="str">
        <f aca="false">TEXT(P584,"YYYY-MM")</f>
        <v>2026-08</v>
      </c>
      <c r="U584" s="18" t="n">
        <f aca="false">RANK(S584,$S$2:$S$670)+COUNTIF($S$2:S584,S584)-1</f>
        <v>135</v>
      </c>
      <c r="V584" s="20" t="n">
        <f aca="false">ROUND((R584-Q584)*24,4)</f>
        <v>11.5</v>
      </c>
      <c r="W584" s="20" t="n">
        <f aca="false">ROUND((R584-P584)*24,4)</f>
        <v>22</v>
      </c>
      <c r="X584" s="18" t="str">
        <f aca="false">TEXT(P584,"dddd")</f>
        <v>Sunday</v>
      </c>
      <c r="Y584" s="18" t="n">
        <f aca="false">HOUR(Q584)</f>
        <v>1</v>
      </c>
    </row>
    <row r="585" customFormat="false" ht="15" hidden="false" customHeight="false" outlineLevel="0" collapsed="false">
      <c r="A585" s="18" t="s">
        <v>32</v>
      </c>
      <c r="B585" s="18" t="s">
        <v>182</v>
      </c>
      <c r="C585" s="18" t="s">
        <v>183</v>
      </c>
      <c r="D585" s="18" t="s">
        <v>48</v>
      </c>
      <c r="E585" s="18" t="s">
        <v>176</v>
      </c>
      <c r="F585" s="18" t="n">
        <v>2609</v>
      </c>
      <c r="G585" s="18" t="s">
        <v>125</v>
      </c>
      <c r="H585" s="18" t="s">
        <v>319</v>
      </c>
      <c r="I585" s="18" t="s">
        <v>23</v>
      </c>
      <c r="J585" s="18" t="s">
        <v>13</v>
      </c>
      <c r="K585" s="18" t="s">
        <v>186</v>
      </c>
      <c r="L585" s="18" t="s">
        <v>125</v>
      </c>
      <c r="M585" s="18" t="s">
        <v>125</v>
      </c>
      <c r="N585" s="18" t="s">
        <v>125</v>
      </c>
      <c r="O585" s="18"/>
      <c r="P585" s="19" t="n">
        <v>46243.6458333333</v>
      </c>
      <c r="Q585" s="19" t="n">
        <v>46243.7916666667</v>
      </c>
      <c r="R585" s="19" t="n">
        <v>46244.1666666667</v>
      </c>
      <c r="S585" s="20" t="n">
        <f aca="false">ROUND((Q585-P585)*24,4)</f>
        <v>3.5</v>
      </c>
      <c r="T585" s="18" t="str">
        <f aca="false">TEXT(P585,"YYYY-MM")</f>
        <v>2026-08</v>
      </c>
      <c r="U585" s="18" t="n">
        <f aca="false">RANK(S585,$S$2:$S$670)+COUNTIF($S$2:S585,S585)-1</f>
        <v>267</v>
      </c>
      <c r="V585" s="20" t="n">
        <f aca="false">ROUND((R585-Q585)*24,4)</f>
        <v>9</v>
      </c>
      <c r="W585" s="20" t="n">
        <f aca="false">ROUND((R585-P585)*24,4)</f>
        <v>12.5</v>
      </c>
      <c r="X585" s="18" t="str">
        <f aca="false">TEXT(P585,"dddd")</f>
        <v>Sunday</v>
      </c>
      <c r="Y585" s="18" t="n">
        <f aca="false">HOUR(Q585)</f>
        <v>19</v>
      </c>
    </row>
    <row r="586" customFormat="false" ht="15" hidden="false" customHeight="false" outlineLevel="0" collapsed="false">
      <c r="A586" s="18" t="s">
        <v>35</v>
      </c>
      <c r="B586" s="18" t="s">
        <v>199</v>
      </c>
      <c r="C586" s="18" t="s">
        <v>200</v>
      </c>
      <c r="D586" s="18" t="s">
        <v>46</v>
      </c>
      <c r="E586" s="18" t="s">
        <v>198</v>
      </c>
      <c r="F586" s="18" t="n">
        <v>2608</v>
      </c>
      <c r="G586" s="18" t="s">
        <v>127</v>
      </c>
      <c r="H586" s="18" t="s">
        <v>301</v>
      </c>
      <c r="I586" s="18" t="s">
        <v>28</v>
      </c>
      <c r="J586" s="18" t="s">
        <v>13</v>
      </c>
      <c r="K586" s="18" t="s">
        <v>12</v>
      </c>
      <c r="L586" s="18" t="s">
        <v>125</v>
      </c>
      <c r="M586" s="18" t="s">
        <v>125</v>
      </c>
      <c r="N586" s="18" t="s">
        <v>125</v>
      </c>
      <c r="O586" s="18"/>
      <c r="P586" s="19" t="n">
        <v>46243.75</v>
      </c>
      <c r="Q586" s="19" t="n">
        <v>46243.7916666667</v>
      </c>
      <c r="R586" s="19" t="n">
        <v>46244.1666666667</v>
      </c>
      <c r="S586" s="20" t="n">
        <f aca="false">ROUND((Q586-P586)*24,4)</f>
        <v>1</v>
      </c>
      <c r="T586" s="18" t="str">
        <f aca="false">TEXT(P586,"YYYY-MM")</f>
        <v>2026-08</v>
      </c>
      <c r="U586" s="18" t="n">
        <f aca="false">RANK(S586,$S$2:$S$670)+COUNTIF($S$2:S586,S586)-1</f>
        <v>547</v>
      </c>
      <c r="V586" s="20" t="n">
        <f aca="false">ROUND((R586-Q586)*24,4)</f>
        <v>9</v>
      </c>
      <c r="W586" s="20" t="n">
        <f aca="false">ROUND((R586-P586)*24,4)</f>
        <v>10</v>
      </c>
      <c r="X586" s="18" t="str">
        <f aca="false">TEXT(P586,"dddd")</f>
        <v>Sunday</v>
      </c>
      <c r="Y586" s="18" t="n">
        <f aca="false">HOUR(Q586)</f>
        <v>19</v>
      </c>
    </row>
    <row r="587" customFormat="false" ht="15" hidden="false" customHeight="false" outlineLevel="0" collapsed="false">
      <c r="A587" s="18" t="s">
        <v>35</v>
      </c>
      <c r="B587" s="18" t="s">
        <v>199</v>
      </c>
      <c r="C587" s="18" t="s">
        <v>200</v>
      </c>
      <c r="D587" s="18" t="s">
        <v>46</v>
      </c>
      <c r="E587" s="18" t="s">
        <v>168</v>
      </c>
      <c r="F587" s="18" t="n">
        <v>2608</v>
      </c>
      <c r="G587" s="18" t="s">
        <v>125</v>
      </c>
      <c r="H587" s="18" t="s">
        <v>302</v>
      </c>
      <c r="I587" s="18" t="s">
        <v>19</v>
      </c>
      <c r="J587" s="18" t="s">
        <v>12</v>
      </c>
      <c r="K587" s="18" t="s">
        <v>13</v>
      </c>
      <c r="L587" s="18" t="s">
        <v>125</v>
      </c>
      <c r="M587" s="18" t="s">
        <v>125</v>
      </c>
      <c r="N587" s="18" t="s">
        <v>125</v>
      </c>
      <c r="O587" s="18"/>
      <c r="P587" s="19" t="n">
        <v>46244.25</v>
      </c>
      <c r="Q587" s="19" t="n">
        <v>46244.9583333333</v>
      </c>
      <c r="R587" s="19" t="n">
        <v>46246.5833333333</v>
      </c>
      <c r="S587" s="20" t="n">
        <f aca="false">ROUND((Q587-P587)*24,4)</f>
        <v>17</v>
      </c>
      <c r="T587" s="18" t="str">
        <f aca="false">TEXT(P587,"YYYY-MM")</f>
        <v>2026-08</v>
      </c>
      <c r="U587" s="18" t="n">
        <f aca="false">RANK(S587,$S$2:$S$670)+COUNTIF($S$2:S587,S587)-1</f>
        <v>69</v>
      </c>
      <c r="V587" s="20" t="n">
        <f aca="false">ROUND((R587-Q587)*24,4)</f>
        <v>39</v>
      </c>
      <c r="W587" s="20" t="n">
        <f aca="false">ROUND((R587-P587)*24,4)</f>
        <v>56</v>
      </c>
      <c r="X587" s="18" t="str">
        <f aca="false">TEXT(P587,"dddd")</f>
        <v>Monday</v>
      </c>
      <c r="Y587" s="18" t="n">
        <f aca="false">HOUR(Q587)</f>
        <v>23</v>
      </c>
    </row>
    <row r="588" customFormat="false" ht="15" hidden="false" customHeight="false" outlineLevel="0" collapsed="false">
      <c r="A588" s="18" t="s">
        <v>31</v>
      </c>
      <c r="B588" s="18" t="s">
        <v>291</v>
      </c>
      <c r="C588" s="18" t="s">
        <v>292</v>
      </c>
      <c r="D588" s="18" t="s">
        <v>53</v>
      </c>
      <c r="E588" s="18" t="s">
        <v>198</v>
      </c>
      <c r="F588" s="18" t="n">
        <v>2607</v>
      </c>
      <c r="G588" s="18" t="s">
        <v>127</v>
      </c>
      <c r="H588" s="18" t="s">
        <v>289</v>
      </c>
      <c r="I588" s="18" t="s">
        <v>24</v>
      </c>
      <c r="J588" s="18" t="s">
        <v>13</v>
      </c>
      <c r="K588" s="18" t="s">
        <v>12</v>
      </c>
      <c r="L588" s="18" t="s">
        <v>144</v>
      </c>
      <c r="M588" s="18" t="s">
        <v>125</v>
      </c>
      <c r="N588" s="18" t="s">
        <v>125</v>
      </c>
      <c r="O588" s="18" t="s">
        <v>308</v>
      </c>
      <c r="P588" s="19" t="n">
        <v>46244.3777777778</v>
      </c>
      <c r="Q588" s="19" t="n">
        <v>46244.3784722222</v>
      </c>
      <c r="R588" s="19" t="n">
        <v>46244.3791666667</v>
      </c>
      <c r="S588" s="20" t="n">
        <f aca="false">ROUND((Q588-P588)*24,4)</f>
        <v>0.0167</v>
      </c>
      <c r="T588" s="18" t="str">
        <f aca="false">TEXT(P588,"YYYY-MM")</f>
        <v>2026-08</v>
      </c>
      <c r="U588" s="18" t="n">
        <f aca="false">RANK(S588,$S$2:$S$670)+COUNTIF($S$2:S588,S588)-1</f>
        <v>660</v>
      </c>
      <c r="V588" s="20" t="n">
        <f aca="false">ROUND((R588-Q588)*24,4)</f>
        <v>0.0167</v>
      </c>
      <c r="W588" s="20" t="n">
        <f aca="false">ROUND((R588-P588)*24,4)</f>
        <v>0.0333</v>
      </c>
      <c r="X588" s="18" t="str">
        <f aca="false">TEXT(P588,"dddd")</f>
        <v>Monday</v>
      </c>
      <c r="Y588" s="18" t="n">
        <f aca="false">HOUR(Q588)</f>
        <v>9</v>
      </c>
    </row>
    <row r="589" customFormat="false" ht="15" hidden="false" customHeight="false" outlineLevel="0" collapsed="false">
      <c r="A589" s="18" t="s">
        <v>31</v>
      </c>
      <c r="B589" s="18" t="s">
        <v>291</v>
      </c>
      <c r="C589" s="18" t="s">
        <v>292</v>
      </c>
      <c r="D589" s="18" t="s">
        <v>53</v>
      </c>
      <c r="E589" s="18" t="s">
        <v>168</v>
      </c>
      <c r="F589" s="18" t="n">
        <v>2607</v>
      </c>
      <c r="G589" s="18" t="s">
        <v>125</v>
      </c>
      <c r="H589" s="18" t="s">
        <v>290</v>
      </c>
      <c r="I589" s="18" t="s">
        <v>18</v>
      </c>
      <c r="J589" s="18" t="s">
        <v>12</v>
      </c>
      <c r="K589" s="18" t="s">
        <v>13</v>
      </c>
      <c r="L589" s="18" t="s">
        <v>144</v>
      </c>
      <c r="M589" s="18" t="s">
        <v>125</v>
      </c>
      <c r="N589" s="18" t="s">
        <v>125</v>
      </c>
      <c r="O589" s="18" t="s">
        <v>308</v>
      </c>
      <c r="P589" s="19" t="n">
        <v>46244.3798611111</v>
      </c>
      <c r="Q589" s="19" t="n">
        <v>46244.3805555556</v>
      </c>
      <c r="R589" s="19" t="n">
        <v>46244.38125</v>
      </c>
      <c r="S589" s="20" t="n">
        <f aca="false">ROUND((Q589-P589)*24,4)</f>
        <v>0.0167</v>
      </c>
      <c r="T589" s="18" t="str">
        <f aca="false">TEXT(P589,"YYYY-MM")</f>
        <v>2026-08</v>
      </c>
      <c r="U589" s="18" t="n">
        <f aca="false">RANK(S589,$S$2:$S$670)+COUNTIF($S$2:S589,S589)-1</f>
        <v>661</v>
      </c>
      <c r="V589" s="20" t="n">
        <f aca="false">ROUND((R589-Q589)*24,4)</f>
        <v>0.0167</v>
      </c>
      <c r="W589" s="20" t="n">
        <f aca="false">ROUND((R589-P589)*24,4)</f>
        <v>0.0333</v>
      </c>
      <c r="X589" s="18" t="str">
        <f aca="false">TEXT(P589,"dddd")</f>
        <v>Monday</v>
      </c>
      <c r="Y589" s="18" t="n">
        <f aca="false">HOUR(Q589)</f>
        <v>9</v>
      </c>
    </row>
    <row r="590" customFormat="false" ht="15" hidden="false" customHeight="false" outlineLevel="0" collapsed="false">
      <c r="A590" s="18" t="s">
        <v>31</v>
      </c>
      <c r="B590" s="18" t="s">
        <v>291</v>
      </c>
      <c r="C590" s="18" t="s">
        <v>292</v>
      </c>
      <c r="D590" s="18" t="s">
        <v>53</v>
      </c>
      <c r="E590" s="18" t="s">
        <v>163</v>
      </c>
      <c r="F590" s="18" t="n">
        <v>2607</v>
      </c>
      <c r="G590" s="18" t="s">
        <v>125</v>
      </c>
      <c r="H590" s="18" t="s">
        <v>290</v>
      </c>
      <c r="I590" s="18" t="s">
        <v>24</v>
      </c>
      <c r="J590" s="18" t="s">
        <v>13</v>
      </c>
      <c r="K590" s="18" t="s">
        <v>165</v>
      </c>
      <c r="L590" s="18" t="s">
        <v>144</v>
      </c>
      <c r="M590" s="18" t="s">
        <v>125</v>
      </c>
      <c r="N590" s="18" t="s">
        <v>125</v>
      </c>
      <c r="O590" s="18" t="s">
        <v>308</v>
      </c>
      <c r="P590" s="19" t="n">
        <v>46244.3819444445</v>
      </c>
      <c r="Q590" s="19" t="n">
        <v>46244.3826388889</v>
      </c>
      <c r="R590" s="19" t="n">
        <v>46244.3833333333</v>
      </c>
      <c r="S590" s="20" t="n">
        <f aca="false">ROUND((Q590-P590)*24,4)</f>
        <v>0.0167</v>
      </c>
      <c r="T590" s="18" t="str">
        <f aca="false">TEXT(P590,"YYYY-MM")</f>
        <v>2026-08</v>
      </c>
      <c r="U590" s="18" t="n">
        <f aca="false">RANK(S590,$S$2:$S$670)+COUNTIF($S$2:S590,S590)-1</f>
        <v>662</v>
      </c>
      <c r="V590" s="20" t="n">
        <f aca="false">ROUND((R590-Q590)*24,4)</f>
        <v>0.0167</v>
      </c>
      <c r="W590" s="20" t="n">
        <f aca="false">ROUND((R590-P590)*24,4)</f>
        <v>0.0333</v>
      </c>
      <c r="X590" s="18" t="str">
        <f aca="false">TEXT(P590,"dddd")</f>
        <v>Monday</v>
      </c>
      <c r="Y590" s="18" t="n">
        <f aca="false">HOUR(Q590)</f>
        <v>9</v>
      </c>
    </row>
    <row r="591" customFormat="false" ht="15" hidden="false" customHeight="false" outlineLevel="0" collapsed="false">
      <c r="A591" s="18" t="s">
        <v>37</v>
      </c>
      <c r="B591" s="18" t="s">
        <v>208</v>
      </c>
      <c r="C591" s="18" t="s">
        <v>209</v>
      </c>
      <c r="D591" s="18" t="s">
        <v>46</v>
      </c>
      <c r="E591" s="18" t="s">
        <v>163</v>
      </c>
      <c r="F591" s="18" t="n">
        <v>2607</v>
      </c>
      <c r="G591" s="18" t="s">
        <v>127</v>
      </c>
      <c r="H591" s="18" t="s">
        <v>289</v>
      </c>
      <c r="I591" s="18" t="s">
        <v>20</v>
      </c>
      <c r="J591" s="18" t="s">
        <v>13</v>
      </c>
      <c r="K591" s="18" t="s">
        <v>12</v>
      </c>
      <c r="L591" s="18" t="s">
        <v>125</v>
      </c>
      <c r="M591" s="18" t="s">
        <v>125</v>
      </c>
      <c r="N591" s="18" t="s">
        <v>125</v>
      </c>
      <c r="O591" s="18"/>
      <c r="P591" s="19" t="n">
        <v>46244.5416666667</v>
      </c>
      <c r="Q591" s="19" t="n">
        <v>46244.5833333333</v>
      </c>
      <c r="R591" s="19" t="n">
        <v>46244.8625</v>
      </c>
      <c r="S591" s="20" t="n">
        <f aca="false">ROUND((Q591-P591)*24,4)</f>
        <v>1</v>
      </c>
      <c r="T591" s="18" t="str">
        <f aca="false">TEXT(P591,"YYYY-MM")</f>
        <v>2026-08</v>
      </c>
      <c r="U591" s="18" t="n">
        <f aca="false">RANK(S591,$S$2:$S$670)+COUNTIF($S$2:S591,S591)-1</f>
        <v>548</v>
      </c>
      <c r="V591" s="20" t="n">
        <f aca="false">ROUND((R591-Q591)*24,4)</f>
        <v>6.7</v>
      </c>
      <c r="W591" s="20" t="n">
        <f aca="false">ROUND((R591-P591)*24,4)</f>
        <v>7.7</v>
      </c>
      <c r="X591" s="18" t="str">
        <f aca="false">TEXT(P591,"dddd")</f>
        <v>Monday</v>
      </c>
      <c r="Y591" s="18" t="n">
        <f aca="false">HOUR(Q591)</f>
        <v>14</v>
      </c>
    </row>
    <row r="592" customFormat="false" ht="15" hidden="false" customHeight="false" outlineLevel="0" collapsed="false">
      <c r="A592" s="18" t="s">
        <v>36</v>
      </c>
      <c r="B592" s="18" t="s">
        <v>306</v>
      </c>
      <c r="C592" s="18" t="s">
        <v>307</v>
      </c>
      <c r="D592" s="18" t="s">
        <v>47</v>
      </c>
      <c r="E592" s="18" t="s">
        <v>168</v>
      </c>
      <c r="F592" s="18" t="n">
        <v>2609</v>
      </c>
      <c r="G592" s="18" t="s">
        <v>127</v>
      </c>
      <c r="H592" s="18" t="s">
        <v>318</v>
      </c>
      <c r="I592" s="18" t="s">
        <v>26</v>
      </c>
      <c r="J592" s="18" t="s">
        <v>13</v>
      </c>
      <c r="K592" s="18" t="s">
        <v>12</v>
      </c>
      <c r="L592" s="18" t="s">
        <v>125</v>
      </c>
      <c r="M592" s="18" t="s">
        <v>125</v>
      </c>
      <c r="N592" s="18" t="s">
        <v>125</v>
      </c>
      <c r="O592" s="18"/>
      <c r="P592" s="19" t="n">
        <v>46244.7083333333</v>
      </c>
      <c r="Q592" s="19" t="n">
        <v>46244.75</v>
      </c>
      <c r="R592" s="19" t="n">
        <v>46245</v>
      </c>
      <c r="S592" s="20" t="n">
        <f aca="false">ROUND((Q592-P592)*24,4)</f>
        <v>1</v>
      </c>
      <c r="T592" s="18" t="str">
        <f aca="false">TEXT(P592,"YYYY-MM")</f>
        <v>2026-08</v>
      </c>
      <c r="U592" s="18" t="n">
        <f aca="false">RANK(S592,$S$2:$S$670)+COUNTIF($S$2:S592,S592)-1</f>
        <v>549</v>
      </c>
      <c r="V592" s="20" t="n">
        <f aca="false">ROUND((R592-Q592)*24,4)</f>
        <v>6</v>
      </c>
      <c r="W592" s="20" t="n">
        <f aca="false">ROUND((R592-P592)*24,4)</f>
        <v>7</v>
      </c>
      <c r="X592" s="18" t="str">
        <f aca="false">TEXT(P592,"dddd")</f>
        <v>Monday</v>
      </c>
      <c r="Y592" s="18" t="n">
        <f aca="false">HOUR(Q592)</f>
        <v>18</v>
      </c>
    </row>
    <row r="593" customFormat="false" ht="15" hidden="false" customHeight="false" outlineLevel="0" collapsed="false">
      <c r="A593" s="18" t="s">
        <v>37</v>
      </c>
      <c r="B593" s="18" t="s">
        <v>208</v>
      </c>
      <c r="C593" s="18" t="s">
        <v>209</v>
      </c>
      <c r="D593" s="18" t="s">
        <v>46</v>
      </c>
      <c r="E593" s="18" t="s">
        <v>176</v>
      </c>
      <c r="F593" s="18" t="n">
        <v>2607</v>
      </c>
      <c r="G593" s="18" t="s">
        <v>125</v>
      </c>
      <c r="H593" s="18" t="s">
        <v>290</v>
      </c>
      <c r="I593" s="18" t="s">
        <v>19</v>
      </c>
      <c r="J593" s="18" t="s">
        <v>12</v>
      </c>
      <c r="K593" s="18" t="s">
        <v>13</v>
      </c>
      <c r="L593" s="18" t="s">
        <v>125</v>
      </c>
      <c r="M593" s="18" t="s">
        <v>125</v>
      </c>
      <c r="N593" s="18" t="s">
        <v>125</v>
      </c>
      <c r="O593" s="18"/>
      <c r="P593" s="19" t="n">
        <v>46245.0416666667</v>
      </c>
      <c r="Q593" s="19" t="n">
        <v>46245.7291666667</v>
      </c>
      <c r="R593" s="19" t="n">
        <v>46247.6583333333</v>
      </c>
      <c r="S593" s="20" t="n">
        <f aca="false">ROUND((Q593-P593)*24,4)</f>
        <v>16.5</v>
      </c>
      <c r="T593" s="18" t="str">
        <f aca="false">TEXT(P593,"YYYY-MM")</f>
        <v>2026-08</v>
      </c>
      <c r="U593" s="18" t="n">
        <f aca="false">RANK(S593,$S$2:$S$670)+COUNTIF($S$2:S593,S593)-1</f>
        <v>72</v>
      </c>
      <c r="V593" s="20" t="n">
        <f aca="false">ROUND((R593-Q593)*24,4)</f>
        <v>46.3</v>
      </c>
      <c r="W593" s="20" t="n">
        <f aca="false">ROUND((R593-P593)*24,4)</f>
        <v>62.8</v>
      </c>
      <c r="X593" s="18" t="str">
        <f aca="false">TEXT(P593,"dddd")</f>
        <v>Tuesday</v>
      </c>
      <c r="Y593" s="18" t="n">
        <f aca="false">HOUR(Q593)</f>
        <v>17</v>
      </c>
    </row>
    <row r="594" customFormat="false" ht="15" hidden="false" customHeight="false" outlineLevel="0" collapsed="false">
      <c r="A594" s="18" t="s">
        <v>36</v>
      </c>
      <c r="B594" s="18" t="s">
        <v>306</v>
      </c>
      <c r="C594" s="18" t="s">
        <v>307</v>
      </c>
      <c r="D594" s="18" t="s">
        <v>47</v>
      </c>
      <c r="E594" s="18" t="s">
        <v>163</v>
      </c>
      <c r="F594" s="18" t="n">
        <v>2609</v>
      </c>
      <c r="G594" s="18" t="s">
        <v>125</v>
      </c>
      <c r="H594" s="18" t="s">
        <v>319</v>
      </c>
      <c r="I594" s="18" t="s">
        <v>17</v>
      </c>
      <c r="J594" s="18" t="s">
        <v>12</v>
      </c>
      <c r="K594" s="18" t="s">
        <v>13</v>
      </c>
      <c r="L594" s="18" t="s">
        <v>125</v>
      </c>
      <c r="M594" s="18" t="s">
        <v>125</v>
      </c>
      <c r="N594" s="18" t="s">
        <v>125</v>
      </c>
      <c r="O594" s="18"/>
      <c r="P594" s="19" t="n">
        <v>46245.1041666667</v>
      </c>
      <c r="Q594" s="19" t="n">
        <v>46245.7472222222</v>
      </c>
      <c r="R594" s="19" t="n">
        <v>46247.6666666667</v>
      </c>
      <c r="S594" s="20" t="n">
        <f aca="false">ROUND((Q594-P594)*24,4)</f>
        <v>15.4333</v>
      </c>
      <c r="T594" s="18" t="str">
        <f aca="false">TEXT(P594,"YYYY-MM")</f>
        <v>2026-08</v>
      </c>
      <c r="U594" s="18" t="n">
        <f aca="false">RANK(S594,$S$2:$S$670)+COUNTIF($S$2:S594,S594)-1</f>
        <v>75</v>
      </c>
      <c r="V594" s="20" t="n">
        <f aca="false">ROUND((R594-Q594)*24,4)</f>
        <v>46.0667</v>
      </c>
      <c r="W594" s="20" t="n">
        <f aca="false">ROUND((R594-P594)*24,4)</f>
        <v>61.5</v>
      </c>
      <c r="X594" s="18" t="str">
        <f aca="false">TEXT(P594,"dddd")</f>
        <v>Tuesday</v>
      </c>
      <c r="Y594" s="18" t="n">
        <f aca="false">HOUR(Q594)</f>
        <v>17</v>
      </c>
    </row>
    <row r="595" customFormat="false" ht="15" hidden="false" customHeight="false" outlineLevel="0" collapsed="false">
      <c r="A595" s="18" t="s">
        <v>38</v>
      </c>
      <c r="B595" s="18" t="s">
        <v>178</v>
      </c>
      <c r="C595" s="18" t="s">
        <v>179</v>
      </c>
      <c r="D595" s="18" t="s">
        <v>49</v>
      </c>
      <c r="E595" s="18" t="s">
        <v>163</v>
      </c>
      <c r="F595" s="18" t="n">
        <v>2606</v>
      </c>
      <c r="G595" s="18" t="s">
        <v>127</v>
      </c>
      <c r="H595" s="18" t="s">
        <v>269</v>
      </c>
      <c r="I595" s="18" t="s">
        <v>23</v>
      </c>
      <c r="J595" s="18" t="s">
        <v>13</v>
      </c>
      <c r="K595" s="18" t="s">
        <v>181</v>
      </c>
      <c r="L595" s="18" t="s">
        <v>125</v>
      </c>
      <c r="M595" s="18" t="s">
        <v>125</v>
      </c>
      <c r="N595" s="18" t="s">
        <v>125</v>
      </c>
      <c r="O595" s="18"/>
      <c r="P595" s="19" t="n">
        <v>46246.1041666667</v>
      </c>
      <c r="Q595" s="19" t="n">
        <v>46246.5833333333</v>
      </c>
      <c r="R595" s="19" t="n">
        <v>46247.375</v>
      </c>
      <c r="S595" s="20" t="n">
        <f aca="false">ROUND((Q595-P595)*24,4)</f>
        <v>11.5</v>
      </c>
      <c r="T595" s="18" t="str">
        <f aca="false">TEXT(P595,"YYYY-MM")</f>
        <v>2026-08</v>
      </c>
      <c r="U595" s="18" t="n">
        <f aca="false">RANK(S595,$S$2:$S$670)+COUNTIF($S$2:S595,S595)-1</f>
        <v>122</v>
      </c>
      <c r="V595" s="20" t="n">
        <f aca="false">ROUND((R595-Q595)*24,4)</f>
        <v>19</v>
      </c>
      <c r="W595" s="20" t="n">
        <f aca="false">ROUND((R595-P595)*24,4)</f>
        <v>30.5</v>
      </c>
      <c r="X595" s="18" t="str">
        <f aca="false">TEXT(P595,"dddd")</f>
        <v>Wednesday</v>
      </c>
      <c r="Y595" s="18" t="n">
        <f aca="false">HOUR(Q595)</f>
        <v>14</v>
      </c>
    </row>
    <row r="596" customFormat="false" ht="15" hidden="false" customHeight="false" outlineLevel="0" collapsed="false">
      <c r="A596" s="18" t="s">
        <v>39</v>
      </c>
      <c r="B596" s="18" t="s">
        <v>287</v>
      </c>
      <c r="C596" s="18" t="s">
        <v>288</v>
      </c>
      <c r="D596" s="18" t="s">
        <v>46</v>
      </c>
      <c r="E596" s="18" t="s">
        <v>176</v>
      </c>
      <c r="F596" s="18" t="n">
        <v>2606</v>
      </c>
      <c r="G596" s="18" t="s">
        <v>125</v>
      </c>
      <c r="H596" s="18" t="s">
        <v>270</v>
      </c>
      <c r="I596" s="18" t="s">
        <v>21</v>
      </c>
      <c r="J596" s="18" t="s">
        <v>13</v>
      </c>
      <c r="K596" s="18" t="s">
        <v>216</v>
      </c>
      <c r="L596" s="18" t="s">
        <v>144</v>
      </c>
      <c r="M596" s="18" t="s">
        <v>125</v>
      </c>
      <c r="N596" s="18" t="s">
        <v>125</v>
      </c>
      <c r="O596" s="18"/>
      <c r="P596" s="19" t="n">
        <v>46246.5006944445</v>
      </c>
      <c r="Q596" s="19" t="n">
        <v>46246.5013888889</v>
      </c>
      <c r="R596" s="19" t="n">
        <v>46246.5020833333</v>
      </c>
      <c r="S596" s="20" t="n">
        <f aca="false">ROUND((Q596-P596)*24,4)</f>
        <v>0.0167</v>
      </c>
      <c r="T596" s="18" t="str">
        <f aca="false">TEXT(P596,"YYYY-MM")</f>
        <v>2026-08</v>
      </c>
      <c r="U596" s="18" t="n">
        <f aca="false">RANK(S596,$S$2:$S$670)+COUNTIF($S$2:S596,S596)-1</f>
        <v>663</v>
      </c>
      <c r="V596" s="20" t="n">
        <f aca="false">ROUND((R596-Q596)*24,4)</f>
        <v>0.0167</v>
      </c>
      <c r="W596" s="20" t="n">
        <f aca="false">ROUND((R596-P596)*24,4)</f>
        <v>0.0333</v>
      </c>
      <c r="X596" s="18" t="str">
        <f aca="false">TEXT(P596,"dddd")</f>
        <v>Wednesday</v>
      </c>
      <c r="Y596" s="18" t="n">
        <f aca="false">HOUR(Q596)</f>
        <v>12</v>
      </c>
    </row>
    <row r="597" customFormat="false" ht="15" hidden="false" customHeight="false" outlineLevel="0" collapsed="false">
      <c r="A597" s="18" t="s">
        <v>35</v>
      </c>
      <c r="B597" s="18" t="s">
        <v>199</v>
      </c>
      <c r="C597" s="18" t="s">
        <v>200</v>
      </c>
      <c r="D597" s="18" t="s">
        <v>46</v>
      </c>
      <c r="E597" s="18" t="s">
        <v>163</v>
      </c>
      <c r="F597" s="18" t="n">
        <v>2608</v>
      </c>
      <c r="G597" s="18" t="s">
        <v>125</v>
      </c>
      <c r="H597" s="18" t="s">
        <v>302</v>
      </c>
      <c r="I597" s="18" t="s">
        <v>24</v>
      </c>
      <c r="J597" s="18" t="s">
        <v>13</v>
      </c>
      <c r="K597" s="18" t="s">
        <v>186</v>
      </c>
      <c r="L597" s="18" t="s">
        <v>125</v>
      </c>
      <c r="M597" s="18" t="s">
        <v>125</v>
      </c>
      <c r="N597" s="18" t="s">
        <v>125</v>
      </c>
      <c r="O597" s="18"/>
      <c r="P597" s="19" t="n">
        <v>46246.7916666667</v>
      </c>
      <c r="Q597" s="19" t="n">
        <v>46246.8333333333</v>
      </c>
      <c r="R597" s="19" t="n">
        <v>46247.3333333333</v>
      </c>
      <c r="S597" s="20" t="n">
        <f aca="false">ROUND((Q597-P597)*24,4)</f>
        <v>1</v>
      </c>
      <c r="T597" s="18" t="str">
        <f aca="false">TEXT(P597,"YYYY-MM")</f>
        <v>2026-08</v>
      </c>
      <c r="U597" s="18" t="n">
        <f aca="false">RANK(S597,$S$2:$S$670)+COUNTIF($S$2:S597,S597)-1</f>
        <v>550</v>
      </c>
      <c r="V597" s="20" t="n">
        <f aca="false">ROUND((R597-Q597)*24,4)</f>
        <v>12</v>
      </c>
      <c r="W597" s="20" t="n">
        <f aca="false">ROUND((R597-P597)*24,4)</f>
        <v>13</v>
      </c>
      <c r="X597" s="18" t="str">
        <f aca="false">TEXT(P597,"dddd")</f>
        <v>Wednesday</v>
      </c>
      <c r="Y597" s="18" t="n">
        <f aca="false">HOUR(Q597)</f>
        <v>20</v>
      </c>
    </row>
    <row r="598" customFormat="false" ht="15" hidden="false" customHeight="false" outlineLevel="0" collapsed="false">
      <c r="A598" s="18" t="s">
        <v>36</v>
      </c>
      <c r="B598" s="18" t="s">
        <v>306</v>
      </c>
      <c r="C598" s="18" t="s">
        <v>307</v>
      </c>
      <c r="D598" s="18" t="s">
        <v>47</v>
      </c>
      <c r="E598" s="18" t="s">
        <v>176</v>
      </c>
      <c r="F598" s="18" t="n">
        <v>2609</v>
      </c>
      <c r="G598" s="18" t="s">
        <v>125</v>
      </c>
      <c r="H598" s="18" t="s">
        <v>319</v>
      </c>
      <c r="I598" s="18" t="s">
        <v>23</v>
      </c>
      <c r="J598" s="18" t="s">
        <v>13</v>
      </c>
      <c r="K598" s="18" t="s">
        <v>186</v>
      </c>
      <c r="L598" s="18" t="s">
        <v>125</v>
      </c>
      <c r="M598" s="18" t="s">
        <v>125</v>
      </c>
      <c r="N598" s="18" t="s">
        <v>125</v>
      </c>
      <c r="O598" s="18"/>
      <c r="P598" s="19" t="n">
        <v>46247.875</v>
      </c>
      <c r="Q598" s="19" t="n">
        <v>46247.9166666667</v>
      </c>
      <c r="R598" s="19" t="n">
        <v>46248.2083333333</v>
      </c>
      <c r="S598" s="20" t="n">
        <f aca="false">ROUND((Q598-P598)*24,4)</f>
        <v>1</v>
      </c>
      <c r="T598" s="18" t="str">
        <f aca="false">TEXT(P598,"YYYY-MM")</f>
        <v>2026-08</v>
      </c>
      <c r="U598" s="18" t="n">
        <f aca="false">RANK(S598,$S$2:$S$670)+COUNTIF($S$2:S598,S598)-1</f>
        <v>551</v>
      </c>
      <c r="V598" s="20" t="n">
        <f aca="false">ROUND((R598-Q598)*24,4)</f>
        <v>7</v>
      </c>
      <c r="W598" s="20" t="n">
        <f aca="false">ROUND((R598-P598)*24,4)</f>
        <v>8</v>
      </c>
      <c r="X598" s="18" t="str">
        <f aca="false">TEXT(P598,"dddd")</f>
        <v>Thursday</v>
      </c>
      <c r="Y598" s="18" t="n">
        <f aca="false">HOUR(Q598)</f>
        <v>22</v>
      </c>
    </row>
    <row r="599" customFormat="false" ht="15" hidden="false" customHeight="false" outlineLevel="0" collapsed="false">
      <c r="A599" s="18" t="s">
        <v>37</v>
      </c>
      <c r="B599" s="18" t="s">
        <v>208</v>
      </c>
      <c r="C599" s="18" t="s">
        <v>209</v>
      </c>
      <c r="D599" s="18" t="s">
        <v>46</v>
      </c>
      <c r="E599" s="18" t="s">
        <v>185</v>
      </c>
      <c r="F599" s="18" t="n">
        <v>2607</v>
      </c>
      <c r="G599" s="18" t="s">
        <v>125</v>
      </c>
      <c r="H599" s="18" t="s">
        <v>290</v>
      </c>
      <c r="I599" s="18" t="s">
        <v>20</v>
      </c>
      <c r="J599" s="18" t="s">
        <v>13</v>
      </c>
      <c r="K599" s="18" t="s">
        <v>165</v>
      </c>
      <c r="L599" s="18" t="s">
        <v>125</v>
      </c>
      <c r="M599" s="18" t="s">
        <v>125</v>
      </c>
      <c r="N599" s="18" t="s">
        <v>125</v>
      </c>
      <c r="O599" s="18"/>
      <c r="P599" s="19" t="n">
        <v>46247.9041666667</v>
      </c>
      <c r="Q599" s="19" t="n">
        <v>46247.9041666667</v>
      </c>
      <c r="R599" s="19" t="n">
        <v>46248.4166666667</v>
      </c>
      <c r="S599" s="20" t="n">
        <f aca="false">ROUND((Q599-P599)*24,4)</f>
        <v>0</v>
      </c>
      <c r="T599" s="18" t="str">
        <f aca="false">TEXT(P599,"YYYY-MM")</f>
        <v>2026-08</v>
      </c>
      <c r="U599" s="18" t="n">
        <f aca="false">RANK(S599,$S$2:$S$670)+COUNTIF($S$2:S599,S599)-1</f>
        <v>669</v>
      </c>
      <c r="V599" s="20" t="n">
        <f aca="false">ROUND((R599-Q599)*24,4)</f>
        <v>12.3</v>
      </c>
      <c r="W599" s="20" t="n">
        <f aca="false">ROUND((R599-P599)*24,4)</f>
        <v>12.3</v>
      </c>
      <c r="X599" s="18" t="str">
        <f aca="false">TEXT(P599,"dddd")</f>
        <v>Thursday</v>
      </c>
      <c r="Y599" s="18" t="n">
        <f aca="false">HOUR(Q599)</f>
        <v>21</v>
      </c>
    </row>
    <row r="600" customFormat="false" ht="15" hidden="false" customHeight="false" outlineLevel="0" collapsed="false">
      <c r="A600" s="18" t="s">
        <v>39</v>
      </c>
      <c r="B600" s="18" t="s">
        <v>250</v>
      </c>
      <c r="C600" s="18" t="s">
        <v>251</v>
      </c>
      <c r="D600" s="18" t="s">
        <v>46</v>
      </c>
      <c r="E600" s="18" t="s">
        <v>176</v>
      </c>
      <c r="F600" s="18" t="n">
        <v>2607</v>
      </c>
      <c r="G600" s="18" t="s">
        <v>125</v>
      </c>
      <c r="H600" s="18" t="s">
        <v>290</v>
      </c>
      <c r="I600" s="18" t="s">
        <v>25</v>
      </c>
      <c r="J600" s="18" t="s">
        <v>13</v>
      </c>
      <c r="K600" s="18" t="s">
        <v>216</v>
      </c>
      <c r="L600" s="18" t="s">
        <v>125</v>
      </c>
      <c r="M600" s="18" t="s">
        <v>125</v>
      </c>
      <c r="N600" s="18" t="s">
        <v>125</v>
      </c>
      <c r="O600" s="18"/>
      <c r="P600" s="19" t="n">
        <v>46252.4166666667</v>
      </c>
      <c r="Q600" s="19" t="n">
        <v>46252.4583333333</v>
      </c>
      <c r="R600" s="19" t="n">
        <v>46253.0416666667</v>
      </c>
      <c r="S600" s="20" t="n">
        <f aca="false">ROUND((Q600-P600)*24,4)</f>
        <v>1</v>
      </c>
      <c r="T600" s="18" t="str">
        <f aca="false">TEXT(P600,"YYYY-MM")</f>
        <v>2026-08</v>
      </c>
      <c r="U600" s="18" t="n">
        <f aca="false">RANK(S600,$S$2:$S$670)+COUNTIF($S$2:S600,S600)-1</f>
        <v>552</v>
      </c>
      <c r="V600" s="20" t="n">
        <f aca="false">ROUND((R600-Q600)*24,4)</f>
        <v>14</v>
      </c>
      <c r="W600" s="20" t="n">
        <f aca="false">ROUND((R600-P600)*24,4)</f>
        <v>15</v>
      </c>
      <c r="X600" s="18" t="str">
        <f aca="false">TEXT(P600,"dddd")</f>
        <v>Tuesday</v>
      </c>
      <c r="Y600" s="18" t="n">
        <f aca="false">HOUR(Q600)</f>
        <v>11</v>
      </c>
    </row>
    <row r="601" customFormat="false" ht="15" hidden="false" customHeight="false" outlineLevel="0" collapsed="false">
      <c r="A601" s="18" t="s">
        <v>31</v>
      </c>
      <c r="B601" s="18" t="s">
        <v>242</v>
      </c>
      <c r="C601" s="18" t="s">
        <v>243</v>
      </c>
      <c r="D601" s="18" t="s">
        <v>46</v>
      </c>
      <c r="E601" s="18" t="s">
        <v>198</v>
      </c>
      <c r="F601" s="18" t="n">
        <v>2608</v>
      </c>
      <c r="G601" s="18" t="s">
        <v>127</v>
      </c>
      <c r="H601" s="18" t="s">
        <v>301</v>
      </c>
      <c r="I601" s="18" t="s">
        <v>20</v>
      </c>
      <c r="J601" s="18" t="s">
        <v>13</v>
      </c>
      <c r="K601" s="18" t="s">
        <v>12</v>
      </c>
      <c r="L601" s="18" t="s">
        <v>125</v>
      </c>
      <c r="M601" s="18" t="s">
        <v>125</v>
      </c>
      <c r="N601" s="18" t="s">
        <v>125</v>
      </c>
      <c r="O601" s="18"/>
      <c r="P601" s="19" t="n">
        <v>46252.875</v>
      </c>
      <c r="Q601" s="19" t="n">
        <v>46252.9083333333</v>
      </c>
      <c r="R601" s="19" t="n">
        <v>46253.2916666667</v>
      </c>
      <c r="S601" s="20" t="n">
        <f aca="false">ROUND((Q601-P601)*24,4)</f>
        <v>0.8</v>
      </c>
      <c r="T601" s="18" t="str">
        <f aca="false">TEXT(P601,"YYYY-MM")</f>
        <v>2026-08</v>
      </c>
      <c r="U601" s="18" t="n">
        <f aca="false">RANK(S601,$S$2:$S$670)+COUNTIF($S$2:S601,S601)-1</f>
        <v>588</v>
      </c>
      <c r="V601" s="20" t="n">
        <f aca="false">ROUND((R601-Q601)*24,4)</f>
        <v>9.2</v>
      </c>
      <c r="W601" s="20" t="n">
        <f aca="false">ROUND((R601-P601)*24,4)</f>
        <v>10</v>
      </c>
      <c r="X601" s="18" t="str">
        <f aca="false">TEXT(P601,"dddd")</f>
        <v>Tuesday</v>
      </c>
      <c r="Y601" s="18" t="n">
        <f aca="false">HOUR(Q601)</f>
        <v>21</v>
      </c>
    </row>
    <row r="602" customFormat="false" ht="15" hidden="false" customHeight="false" outlineLevel="0" collapsed="false">
      <c r="A602" s="18" t="s">
        <v>41</v>
      </c>
      <c r="B602" s="18" t="s">
        <v>336</v>
      </c>
      <c r="C602" s="18" t="s">
        <v>337</v>
      </c>
      <c r="D602" s="18" t="s">
        <v>46</v>
      </c>
      <c r="E602" s="18" t="s">
        <v>338</v>
      </c>
      <c r="F602" s="18" t="n">
        <v>2605</v>
      </c>
      <c r="G602" s="18" t="s">
        <v>339</v>
      </c>
      <c r="H602" s="18" t="s">
        <v>340</v>
      </c>
      <c r="I602" s="18" t="s">
        <v>27</v>
      </c>
      <c r="J602" s="18" t="s">
        <v>13</v>
      </c>
      <c r="K602" s="18" t="s">
        <v>303</v>
      </c>
      <c r="L602" s="18" t="s">
        <v>125</v>
      </c>
      <c r="M602" s="18" t="s">
        <v>125</v>
      </c>
      <c r="N602" s="18" t="s">
        <v>125</v>
      </c>
      <c r="O602" s="18"/>
      <c r="P602" s="19" t="n">
        <v>46253.25</v>
      </c>
      <c r="Q602" s="19" t="n">
        <v>46254.2916666667</v>
      </c>
      <c r="R602" s="19" t="n">
        <v>46256.2083333333</v>
      </c>
      <c r="S602" s="20" t="n">
        <f aca="false">ROUND((Q602-P602)*24,4)</f>
        <v>25</v>
      </c>
      <c r="T602" s="18" t="str">
        <f aca="false">TEXT(P602,"YYYY-MM")</f>
        <v>2026-08</v>
      </c>
      <c r="U602" s="18" t="n">
        <f aca="false">RANK(S602,$S$2:$S$670)+COUNTIF($S$2:S602,S602)-1</f>
        <v>33</v>
      </c>
      <c r="V602" s="20" t="n">
        <f aca="false">ROUND((R602-Q602)*24,4)</f>
        <v>46</v>
      </c>
      <c r="W602" s="20" t="n">
        <f aca="false">ROUND((R602-P602)*24,4)</f>
        <v>71</v>
      </c>
      <c r="X602" s="18" t="str">
        <f aca="false">TEXT(P602,"dddd")</f>
        <v>Wednesday</v>
      </c>
      <c r="Y602" s="18" t="n">
        <f aca="false">HOUR(Q602)</f>
        <v>7</v>
      </c>
    </row>
    <row r="603" customFormat="false" ht="15" hidden="false" customHeight="false" outlineLevel="0" collapsed="false">
      <c r="A603" s="18" t="s">
        <v>31</v>
      </c>
      <c r="B603" s="18" t="s">
        <v>242</v>
      </c>
      <c r="C603" s="18" t="s">
        <v>243</v>
      </c>
      <c r="D603" s="18" t="s">
        <v>46</v>
      </c>
      <c r="E603" s="18" t="s">
        <v>168</v>
      </c>
      <c r="F603" s="18" t="n">
        <v>2608</v>
      </c>
      <c r="G603" s="18" t="s">
        <v>125</v>
      </c>
      <c r="H603" s="18" t="s">
        <v>302</v>
      </c>
      <c r="I603" s="18" t="s">
        <v>18</v>
      </c>
      <c r="J603" s="18" t="s">
        <v>12</v>
      </c>
      <c r="K603" s="18" t="s">
        <v>13</v>
      </c>
      <c r="L603" s="18" t="s">
        <v>125</v>
      </c>
      <c r="M603" s="18" t="s">
        <v>125</v>
      </c>
      <c r="N603" s="18" t="s">
        <v>125</v>
      </c>
      <c r="O603" s="18"/>
      <c r="P603" s="19" t="n">
        <v>46253.375</v>
      </c>
      <c r="Q603" s="19" t="n">
        <v>46253.8333333333</v>
      </c>
      <c r="R603" s="19" t="n">
        <v>46254.6666666667</v>
      </c>
      <c r="S603" s="20" t="n">
        <f aca="false">ROUND((Q603-P603)*24,4)</f>
        <v>11</v>
      </c>
      <c r="T603" s="18" t="str">
        <f aca="false">TEXT(P603,"YYYY-MM")</f>
        <v>2026-08</v>
      </c>
      <c r="U603" s="18" t="n">
        <f aca="false">RANK(S603,$S$2:$S$670)+COUNTIF($S$2:S603,S603)-1</f>
        <v>130</v>
      </c>
      <c r="V603" s="20" t="n">
        <f aca="false">ROUND((R603-Q603)*24,4)</f>
        <v>20</v>
      </c>
      <c r="W603" s="20" t="n">
        <f aca="false">ROUND((R603-P603)*24,4)</f>
        <v>31</v>
      </c>
      <c r="X603" s="18" t="str">
        <f aca="false">TEXT(P603,"dddd")</f>
        <v>Wednesday</v>
      </c>
      <c r="Y603" s="18" t="n">
        <f aca="false">HOUR(Q603)</f>
        <v>20</v>
      </c>
    </row>
    <row r="604" customFormat="false" ht="15" hidden="false" customHeight="false" outlineLevel="0" collapsed="false">
      <c r="A604" s="18" t="s">
        <v>32</v>
      </c>
      <c r="B604" s="18" t="s">
        <v>188</v>
      </c>
      <c r="C604" s="18" t="s">
        <v>189</v>
      </c>
      <c r="D604" s="18" t="s">
        <v>46</v>
      </c>
      <c r="E604" s="18" t="s">
        <v>168</v>
      </c>
      <c r="F604" s="18" t="n">
        <v>2609</v>
      </c>
      <c r="G604" s="18" t="s">
        <v>127</v>
      </c>
      <c r="H604" s="18" t="s">
        <v>318</v>
      </c>
      <c r="I604" s="18" t="s">
        <v>23</v>
      </c>
      <c r="J604" s="18" t="s">
        <v>13</v>
      </c>
      <c r="K604" s="18" t="s">
        <v>12</v>
      </c>
      <c r="L604" s="18" t="s">
        <v>125</v>
      </c>
      <c r="M604" s="18" t="s">
        <v>125</v>
      </c>
      <c r="N604" s="18" t="s">
        <v>125</v>
      </c>
      <c r="O604" s="18"/>
      <c r="P604" s="19" t="n">
        <v>46253.5</v>
      </c>
      <c r="Q604" s="19" t="n">
        <v>46253.5416666667</v>
      </c>
      <c r="R604" s="19" t="n">
        <v>46253.7916666667</v>
      </c>
      <c r="S604" s="20" t="n">
        <f aca="false">ROUND((Q604-P604)*24,4)</f>
        <v>1</v>
      </c>
      <c r="T604" s="18" t="str">
        <f aca="false">TEXT(P604,"YYYY-MM")</f>
        <v>2026-08</v>
      </c>
      <c r="U604" s="18" t="n">
        <f aca="false">RANK(S604,$S$2:$S$670)+COUNTIF($S$2:S604,S604)-1</f>
        <v>553</v>
      </c>
      <c r="V604" s="20" t="n">
        <f aca="false">ROUND((R604-Q604)*24,4)</f>
        <v>6</v>
      </c>
      <c r="W604" s="20" t="n">
        <f aca="false">ROUND((R604-P604)*24,4)</f>
        <v>7</v>
      </c>
      <c r="X604" s="18" t="str">
        <f aca="false">TEXT(P604,"dddd")</f>
        <v>Wednesday</v>
      </c>
      <c r="Y604" s="18" t="n">
        <f aca="false">HOUR(Q604)</f>
        <v>13</v>
      </c>
    </row>
    <row r="605" customFormat="false" ht="15" hidden="false" customHeight="false" outlineLevel="0" collapsed="false">
      <c r="A605" s="18" t="s">
        <v>32</v>
      </c>
      <c r="B605" s="18" t="s">
        <v>188</v>
      </c>
      <c r="C605" s="18" t="s">
        <v>189</v>
      </c>
      <c r="D605" s="18" t="s">
        <v>46</v>
      </c>
      <c r="E605" s="18" t="s">
        <v>163</v>
      </c>
      <c r="F605" s="18" t="n">
        <v>2609</v>
      </c>
      <c r="G605" s="18" t="s">
        <v>125</v>
      </c>
      <c r="H605" s="18" t="s">
        <v>319</v>
      </c>
      <c r="I605" s="18" t="s">
        <v>17</v>
      </c>
      <c r="J605" s="18" t="s">
        <v>12</v>
      </c>
      <c r="K605" s="18" t="s">
        <v>13</v>
      </c>
      <c r="L605" s="18" t="s">
        <v>125</v>
      </c>
      <c r="M605" s="18" t="s">
        <v>125</v>
      </c>
      <c r="N605" s="18" t="s">
        <v>125</v>
      </c>
      <c r="O605" s="18"/>
      <c r="P605" s="19" t="n">
        <v>46254.7916666667</v>
      </c>
      <c r="Q605" s="19" t="n">
        <v>46254.9166666667</v>
      </c>
      <c r="R605" s="19" t="n">
        <v>46256.6666666667</v>
      </c>
      <c r="S605" s="20" t="n">
        <f aca="false">ROUND((Q605-P605)*24,4)</f>
        <v>3</v>
      </c>
      <c r="T605" s="18" t="str">
        <f aca="false">TEXT(P605,"YYYY-MM")</f>
        <v>2026-08</v>
      </c>
      <c r="U605" s="18" t="n">
        <f aca="false">RANK(S605,$S$2:$S$670)+COUNTIF($S$2:S605,S605)-1</f>
        <v>294</v>
      </c>
      <c r="V605" s="20" t="n">
        <f aca="false">ROUND((R605-Q605)*24,4)</f>
        <v>42</v>
      </c>
      <c r="W605" s="20" t="n">
        <f aca="false">ROUND((R605-P605)*24,4)</f>
        <v>45</v>
      </c>
      <c r="X605" s="18" t="str">
        <f aca="false">TEXT(P605,"dddd")</f>
        <v>Thursday</v>
      </c>
      <c r="Y605" s="18" t="n">
        <f aca="false">HOUR(Q605)</f>
        <v>22</v>
      </c>
    </row>
    <row r="606" customFormat="false" ht="15" hidden="false" customHeight="false" outlineLevel="0" collapsed="false">
      <c r="A606" s="18" t="s">
        <v>31</v>
      </c>
      <c r="B606" s="18" t="s">
        <v>242</v>
      </c>
      <c r="C606" s="18" t="s">
        <v>243</v>
      </c>
      <c r="D606" s="18" t="s">
        <v>46</v>
      </c>
      <c r="E606" s="18" t="s">
        <v>163</v>
      </c>
      <c r="F606" s="18" t="n">
        <v>2608</v>
      </c>
      <c r="G606" s="18" t="s">
        <v>125</v>
      </c>
      <c r="H606" s="18" t="s">
        <v>302</v>
      </c>
      <c r="I606" s="18" t="s">
        <v>20</v>
      </c>
      <c r="J606" s="18" t="s">
        <v>13</v>
      </c>
      <c r="K606" s="18" t="s">
        <v>165</v>
      </c>
      <c r="L606" s="18" t="s">
        <v>125</v>
      </c>
      <c r="M606" s="18" t="s">
        <v>125</v>
      </c>
      <c r="N606" s="18" t="s">
        <v>125</v>
      </c>
      <c r="O606" s="18"/>
      <c r="P606" s="19" t="n">
        <v>46254.8333333333</v>
      </c>
      <c r="Q606" s="19" t="n">
        <v>46254.875</v>
      </c>
      <c r="R606" s="19" t="n">
        <v>46255.3333333333</v>
      </c>
      <c r="S606" s="20" t="n">
        <f aca="false">ROUND((Q606-P606)*24,4)</f>
        <v>1</v>
      </c>
      <c r="T606" s="18" t="str">
        <f aca="false">TEXT(P606,"YYYY-MM")</f>
        <v>2026-08</v>
      </c>
      <c r="U606" s="18" t="n">
        <f aca="false">RANK(S606,$S$2:$S$670)+COUNTIF($S$2:S606,S606)-1</f>
        <v>554</v>
      </c>
      <c r="V606" s="20" t="n">
        <f aca="false">ROUND((R606-Q606)*24,4)</f>
        <v>11</v>
      </c>
      <c r="W606" s="20" t="n">
        <f aca="false">ROUND((R606-P606)*24,4)</f>
        <v>12</v>
      </c>
      <c r="X606" s="18" t="str">
        <f aca="false">TEXT(P606,"dddd")</f>
        <v>Thursday</v>
      </c>
      <c r="Y606" s="18" t="n">
        <f aca="false">HOUR(Q606)</f>
        <v>21</v>
      </c>
    </row>
    <row r="607" customFormat="false" ht="15" hidden="false" customHeight="false" outlineLevel="0" collapsed="false">
      <c r="A607" s="18" t="s">
        <v>39</v>
      </c>
      <c r="B607" s="18" t="s">
        <v>275</v>
      </c>
      <c r="C607" s="18" t="s">
        <v>276</v>
      </c>
      <c r="D607" s="18" t="s">
        <v>46</v>
      </c>
      <c r="E607" s="18" t="s">
        <v>176</v>
      </c>
      <c r="F607" s="18" t="n">
        <v>2611</v>
      </c>
      <c r="G607" s="18" t="s">
        <v>125</v>
      </c>
      <c r="H607" s="18" t="s">
        <v>329</v>
      </c>
      <c r="I607" s="18" t="s">
        <v>25</v>
      </c>
      <c r="J607" s="18" t="s">
        <v>13</v>
      </c>
      <c r="K607" s="18" t="s">
        <v>216</v>
      </c>
      <c r="L607" s="18" t="s">
        <v>125</v>
      </c>
      <c r="M607" s="18" t="s">
        <v>125</v>
      </c>
      <c r="N607" s="18" t="s">
        <v>125</v>
      </c>
      <c r="O607" s="18"/>
      <c r="P607" s="19" t="n">
        <v>46255.875</v>
      </c>
      <c r="Q607" s="19" t="n">
        <v>46255.9</v>
      </c>
      <c r="R607" s="19" t="n">
        <v>46256.4625</v>
      </c>
      <c r="S607" s="20" t="n">
        <f aca="false">ROUND((Q607-P607)*24,4)</f>
        <v>0.6</v>
      </c>
      <c r="T607" s="18" t="str">
        <f aca="false">TEXT(P607,"YYYY-MM")</f>
        <v>2026-08</v>
      </c>
      <c r="U607" s="18" t="n">
        <f aca="false">RANK(S607,$S$2:$S$670)+COUNTIF($S$2:S607,S607)-1</f>
        <v>598</v>
      </c>
      <c r="V607" s="20" t="n">
        <f aca="false">ROUND((R607-Q607)*24,4)</f>
        <v>13.5</v>
      </c>
      <c r="W607" s="20" t="n">
        <f aca="false">ROUND((R607-P607)*24,4)</f>
        <v>14.1</v>
      </c>
      <c r="X607" s="18" t="str">
        <f aca="false">TEXT(P607,"dddd")</f>
        <v>Friday</v>
      </c>
      <c r="Y607" s="18" t="n">
        <f aca="false">HOUR(Q607)</f>
        <v>21</v>
      </c>
    </row>
    <row r="608" customFormat="false" ht="15" hidden="false" customHeight="false" outlineLevel="0" collapsed="false">
      <c r="A608" s="18" t="s">
        <v>32</v>
      </c>
      <c r="B608" s="18" t="s">
        <v>188</v>
      </c>
      <c r="C608" s="18" t="s">
        <v>189</v>
      </c>
      <c r="D608" s="18" t="s">
        <v>46</v>
      </c>
      <c r="E608" s="18" t="s">
        <v>176</v>
      </c>
      <c r="F608" s="18" t="n">
        <v>2609</v>
      </c>
      <c r="G608" s="18" t="s">
        <v>125</v>
      </c>
      <c r="H608" s="18" t="s">
        <v>319</v>
      </c>
      <c r="I608" s="18" t="s">
        <v>23</v>
      </c>
      <c r="J608" s="18" t="s">
        <v>13</v>
      </c>
      <c r="K608" s="18" t="s">
        <v>186</v>
      </c>
      <c r="L608" s="18" t="s">
        <v>125</v>
      </c>
      <c r="M608" s="18" t="s">
        <v>125</v>
      </c>
      <c r="N608" s="18" t="s">
        <v>125</v>
      </c>
      <c r="O608" s="18"/>
      <c r="P608" s="19" t="n">
        <v>46256.875</v>
      </c>
      <c r="Q608" s="19" t="n">
        <v>46257.125</v>
      </c>
      <c r="R608" s="19" t="n">
        <v>46257.625</v>
      </c>
      <c r="S608" s="20" t="n">
        <f aca="false">ROUND((Q608-P608)*24,4)</f>
        <v>6</v>
      </c>
      <c r="T608" s="18" t="str">
        <f aca="false">TEXT(P608,"YYYY-MM")</f>
        <v>2026-08</v>
      </c>
      <c r="U608" s="18" t="n">
        <f aca="false">RANK(S608,$S$2:$S$670)+COUNTIF($S$2:S608,S608)-1</f>
        <v>218</v>
      </c>
      <c r="V608" s="20" t="n">
        <f aca="false">ROUND((R608-Q608)*24,4)</f>
        <v>12</v>
      </c>
      <c r="W608" s="20" t="n">
        <f aca="false">ROUND((R608-P608)*24,4)</f>
        <v>18</v>
      </c>
      <c r="X608" s="18" t="str">
        <f aca="false">TEXT(P608,"dddd")</f>
        <v>Saturday</v>
      </c>
      <c r="Y608" s="18" t="n">
        <f aca="false">HOUR(Q608)</f>
        <v>3</v>
      </c>
    </row>
    <row r="609" customFormat="false" ht="15" hidden="false" customHeight="false" outlineLevel="0" collapsed="false">
      <c r="A609" s="18" t="s">
        <v>35</v>
      </c>
      <c r="B609" s="18" t="s">
        <v>228</v>
      </c>
      <c r="C609" s="18" t="s">
        <v>229</v>
      </c>
      <c r="D609" s="18" t="s">
        <v>52</v>
      </c>
      <c r="E609" s="18" t="s">
        <v>198</v>
      </c>
      <c r="F609" s="18" t="n">
        <v>2608</v>
      </c>
      <c r="G609" s="18" t="s">
        <v>127</v>
      </c>
      <c r="H609" s="18" t="s">
        <v>301</v>
      </c>
      <c r="I609" s="18" t="s">
        <v>24</v>
      </c>
      <c r="J609" s="18" t="s">
        <v>13</v>
      </c>
      <c r="K609" s="18" t="s">
        <v>12</v>
      </c>
      <c r="L609" s="18" t="s">
        <v>125</v>
      </c>
      <c r="M609" s="18" t="s">
        <v>125</v>
      </c>
      <c r="N609" s="18" t="s">
        <v>125</v>
      </c>
      <c r="O609" s="18"/>
      <c r="P609" s="19" t="n">
        <v>46257.3333333333</v>
      </c>
      <c r="Q609" s="19" t="n">
        <v>46257.375</v>
      </c>
      <c r="R609" s="19" t="n">
        <v>46257.7083333333</v>
      </c>
      <c r="S609" s="20" t="n">
        <f aca="false">ROUND((Q609-P609)*24,4)</f>
        <v>1</v>
      </c>
      <c r="T609" s="18" t="str">
        <f aca="false">TEXT(P609,"YYYY-MM")</f>
        <v>2026-08</v>
      </c>
      <c r="U609" s="18" t="n">
        <f aca="false">RANK(S609,$S$2:$S$670)+COUNTIF($S$2:S609,S609)-1</f>
        <v>555</v>
      </c>
      <c r="V609" s="20" t="n">
        <f aca="false">ROUND((R609-Q609)*24,4)</f>
        <v>8</v>
      </c>
      <c r="W609" s="20" t="n">
        <f aca="false">ROUND((R609-P609)*24,4)</f>
        <v>9</v>
      </c>
      <c r="X609" s="18" t="str">
        <f aca="false">TEXT(P609,"dddd")</f>
        <v>Sunday</v>
      </c>
      <c r="Y609" s="18" t="n">
        <f aca="false">HOUR(Q609)</f>
        <v>9</v>
      </c>
    </row>
    <row r="610" customFormat="false" ht="15" hidden="false" customHeight="false" outlineLevel="0" collapsed="false">
      <c r="A610" s="18" t="s">
        <v>34</v>
      </c>
      <c r="B610" s="18" t="s">
        <v>223</v>
      </c>
      <c r="C610" s="18" t="s">
        <v>224</v>
      </c>
      <c r="D610" s="18" t="s">
        <v>47</v>
      </c>
      <c r="E610" s="18" t="s">
        <v>163</v>
      </c>
      <c r="F610" s="18" t="n">
        <v>2609</v>
      </c>
      <c r="G610" s="18" t="s">
        <v>127</v>
      </c>
      <c r="H610" s="18" t="s">
        <v>318</v>
      </c>
      <c r="I610" s="18" t="s">
        <v>23</v>
      </c>
      <c r="J610" s="18" t="s">
        <v>13</v>
      </c>
      <c r="K610" s="18" t="s">
        <v>12</v>
      </c>
      <c r="L610" s="18" t="s">
        <v>125</v>
      </c>
      <c r="M610" s="18" t="s">
        <v>125</v>
      </c>
      <c r="N610" s="18" t="s">
        <v>125</v>
      </c>
      <c r="O610" s="18"/>
      <c r="P610" s="19" t="n">
        <v>46258.125</v>
      </c>
      <c r="Q610" s="19" t="n">
        <v>46258.1666666667</v>
      </c>
      <c r="R610" s="19" t="n">
        <v>46258.4166666667</v>
      </c>
      <c r="S610" s="20" t="n">
        <f aca="false">ROUND((Q610-P610)*24,4)</f>
        <v>1</v>
      </c>
      <c r="T610" s="18" t="str">
        <f aca="false">TEXT(P610,"YYYY-MM")</f>
        <v>2026-08</v>
      </c>
      <c r="U610" s="18" t="n">
        <f aca="false">RANK(S610,$S$2:$S$670)+COUNTIF($S$2:S610,S610)-1</f>
        <v>556</v>
      </c>
      <c r="V610" s="20" t="n">
        <f aca="false">ROUND((R610-Q610)*24,4)</f>
        <v>6</v>
      </c>
      <c r="W610" s="20" t="n">
        <f aca="false">ROUND((R610-P610)*24,4)</f>
        <v>7</v>
      </c>
      <c r="X610" s="18" t="str">
        <f aca="false">TEXT(P610,"dddd")</f>
        <v>Monday</v>
      </c>
      <c r="Y610" s="18" t="n">
        <f aca="false">HOUR(Q610)</f>
        <v>4</v>
      </c>
    </row>
    <row r="611" customFormat="false" ht="15" hidden="false" customHeight="false" outlineLevel="0" collapsed="false">
      <c r="A611" s="18" t="s">
        <v>35</v>
      </c>
      <c r="B611" s="18" t="s">
        <v>228</v>
      </c>
      <c r="C611" s="18" t="s">
        <v>229</v>
      </c>
      <c r="D611" s="18" t="s">
        <v>52</v>
      </c>
      <c r="E611" s="18" t="s">
        <v>168</v>
      </c>
      <c r="F611" s="18" t="n">
        <v>2608</v>
      </c>
      <c r="G611" s="18" t="s">
        <v>125</v>
      </c>
      <c r="H611" s="18" t="s">
        <v>302</v>
      </c>
      <c r="I611" s="18" t="s">
        <v>19</v>
      </c>
      <c r="J611" s="18" t="s">
        <v>12</v>
      </c>
      <c r="K611" s="18" t="s">
        <v>13</v>
      </c>
      <c r="L611" s="18" t="s">
        <v>125</v>
      </c>
      <c r="M611" s="18" t="s">
        <v>125</v>
      </c>
      <c r="N611" s="18" t="s">
        <v>125</v>
      </c>
      <c r="O611" s="18"/>
      <c r="P611" s="19" t="n">
        <v>46258.2083333333</v>
      </c>
      <c r="Q611" s="19" t="n">
        <v>46258.8333333333</v>
      </c>
      <c r="R611" s="19" t="n">
        <v>46260.625</v>
      </c>
      <c r="S611" s="20" t="n">
        <f aca="false">ROUND((Q611-P611)*24,4)</f>
        <v>15</v>
      </c>
      <c r="T611" s="18" t="str">
        <f aca="false">TEXT(P611,"YYYY-MM")</f>
        <v>2026-08</v>
      </c>
      <c r="U611" s="18" t="n">
        <f aca="false">RANK(S611,$S$2:$S$670)+COUNTIF($S$2:S611,S611)-1</f>
        <v>84</v>
      </c>
      <c r="V611" s="20" t="n">
        <f aca="false">ROUND((R611-Q611)*24,4)</f>
        <v>43</v>
      </c>
      <c r="W611" s="20" t="n">
        <f aca="false">ROUND((R611-P611)*24,4)</f>
        <v>58</v>
      </c>
      <c r="X611" s="18" t="str">
        <f aca="false">TEXT(P611,"dddd")</f>
        <v>Monday</v>
      </c>
      <c r="Y611" s="18" t="n">
        <f aca="false">HOUR(Q611)</f>
        <v>20</v>
      </c>
    </row>
    <row r="612" customFormat="false" ht="15" hidden="false" customHeight="false" outlineLevel="0" collapsed="false">
      <c r="A612" s="18" t="s">
        <v>38</v>
      </c>
      <c r="B612" s="18" t="s">
        <v>211</v>
      </c>
      <c r="C612" s="18" t="s">
        <v>212</v>
      </c>
      <c r="D612" s="18" t="s">
        <v>47</v>
      </c>
      <c r="E612" s="18" t="s">
        <v>163</v>
      </c>
      <c r="F612" s="18" t="n">
        <v>2606</v>
      </c>
      <c r="G612" s="18" t="s">
        <v>127</v>
      </c>
      <c r="H612" s="18" t="s">
        <v>269</v>
      </c>
      <c r="I612" s="18" t="s">
        <v>23</v>
      </c>
      <c r="J612" s="18" t="s">
        <v>13</v>
      </c>
      <c r="K612" s="18" t="s">
        <v>181</v>
      </c>
      <c r="L612" s="18" t="s">
        <v>125</v>
      </c>
      <c r="M612" s="18" t="s">
        <v>125</v>
      </c>
      <c r="N612" s="18" t="s">
        <v>125</v>
      </c>
      <c r="O612" s="18"/>
      <c r="P612" s="19" t="n">
        <v>46258.375</v>
      </c>
      <c r="Q612" s="19" t="n">
        <v>46258.7125</v>
      </c>
      <c r="R612" s="19" t="n">
        <v>46259.5875</v>
      </c>
      <c r="S612" s="20" t="n">
        <f aca="false">ROUND((Q612-P612)*24,4)</f>
        <v>8.1</v>
      </c>
      <c r="T612" s="18" t="str">
        <f aca="false">TEXT(P612,"YYYY-MM")</f>
        <v>2026-08</v>
      </c>
      <c r="U612" s="18" t="n">
        <f aca="false">RANK(S612,$S$2:$S$670)+COUNTIF($S$2:S612,S612)-1</f>
        <v>170</v>
      </c>
      <c r="V612" s="20" t="n">
        <f aca="false">ROUND((R612-Q612)*24,4)</f>
        <v>21</v>
      </c>
      <c r="W612" s="20" t="n">
        <f aca="false">ROUND((R612-P612)*24,4)</f>
        <v>29.1</v>
      </c>
      <c r="X612" s="18" t="str">
        <f aca="false">TEXT(P612,"dddd")</f>
        <v>Monday</v>
      </c>
      <c r="Y612" s="18" t="n">
        <f aca="false">HOUR(Q612)</f>
        <v>17</v>
      </c>
    </row>
    <row r="613" customFormat="false" ht="15" hidden="false" customHeight="false" outlineLevel="0" collapsed="false">
      <c r="A613" s="18" t="s">
        <v>34</v>
      </c>
      <c r="B613" s="18" t="s">
        <v>223</v>
      </c>
      <c r="C613" s="18" t="s">
        <v>224</v>
      </c>
      <c r="D613" s="18" t="s">
        <v>47</v>
      </c>
      <c r="E613" s="18" t="s">
        <v>176</v>
      </c>
      <c r="F613" s="18" t="n">
        <v>2609</v>
      </c>
      <c r="G613" s="18" t="s">
        <v>125</v>
      </c>
      <c r="H613" s="18" t="s">
        <v>319</v>
      </c>
      <c r="I613" s="18" t="s">
        <v>17</v>
      </c>
      <c r="J613" s="18" t="s">
        <v>12</v>
      </c>
      <c r="K613" s="18" t="s">
        <v>165</v>
      </c>
      <c r="L613" s="18" t="s">
        <v>125</v>
      </c>
      <c r="M613" s="18" t="s">
        <v>125</v>
      </c>
      <c r="N613" s="18" t="s">
        <v>144</v>
      </c>
      <c r="O613" s="18"/>
      <c r="P613" s="19" t="n">
        <v>46258.5416666667</v>
      </c>
      <c r="Q613" s="19" t="n">
        <v>46258.6666666667</v>
      </c>
      <c r="R613" s="19" t="n">
        <v>46260.9166666667</v>
      </c>
      <c r="S613" s="20" t="n">
        <f aca="false">ROUND((Q613-P613)*24,4)</f>
        <v>3</v>
      </c>
      <c r="T613" s="18" t="str">
        <f aca="false">TEXT(P613,"YYYY-MM")</f>
        <v>2026-08</v>
      </c>
      <c r="U613" s="18" t="n">
        <f aca="false">RANK(S613,$S$2:$S$670)+COUNTIF($S$2:S613,S613)-1</f>
        <v>295</v>
      </c>
      <c r="V613" s="20" t="n">
        <f aca="false">ROUND((R613-Q613)*24,4)</f>
        <v>54</v>
      </c>
      <c r="W613" s="20" t="n">
        <f aca="false">ROUND((R613-P613)*24,4)</f>
        <v>57</v>
      </c>
      <c r="X613" s="18" t="str">
        <f aca="false">TEXT(P613,"dddd")</f>
        <v>Monday</v>
      </c>
      <c r="Y613" s="18" t="n">
        <f aca="false">HOUR(Q613)</f>
        <v>16</v>
      </c>
    </row>
    <row r="614" customFormat="false" ht="15" hidden="false" customHeight="false" outlineLevel="0" collapsed="false">
      <c r="A614" s="18" t="s">
        <v>36</v>
      </c>
      <c r="B614" s="18" t="s">
        <v>223</v>
      </c>
      <c r="C614" s="18" t="s">
        <v>224</v>
      </c>
      <c r="D614" s="18" t="s">
        <v>47</v>
      </c>
      <c r="E614" s="18" t="s">
        <v>163</v>
      </c>
      <c r="F614" s="18" t="n">
        <v>2609</v>
      </c>
      <c r="G614" s="18" t="s">
        <v>125</v>
      </c>
      <c r="H614" s="18" t="s">
        <v>319</v>
      </c>
      <c r="I614" s="18" t="s">
        <v>17</v>
      </c>
      <c r="J614" s="18" t="s">
        <v>12</v>
      </c>
      <c r="K614" s="18" t="s">
        <v>13</v>
      </c>
      <c r="L614" s="18" t="s">
        <v>125</v>
      </c>
      <c r="M614" s="18" t="s">
        <v>144</v>
      </c>
      <c r="N614" s="18" t="s">
        <v>144</v>
      </c>
      <c r="O614" s="18"/>
      <c r="P614" s="19" t="n">
        <v>46258.75</v>
      </c>
      <c r="Q614" s="19" t="n">
        <v>46258.8958333333</v>
      </c>
      <c r="R614" s="19" t="n">
        <v>46260.5416666667</v>
      </c>
      <c r="S614" s="20" t="n">
        <f aca="false">ROUND((Q614-P614)*24,4)</f>
        <v>3.5</v>
      </c>
      <c r="T614" s="18" t="str">
        <f aca="false">TEXT(P614,"YYYY-MM")</f>
        <v>2026-08</v>
      </c>
      <c r="U614" s="18" t="n">
        <f aca="false">RANK(S614,$S$2:$S$670)+COUNTIF($S$2:S614,S614)-1</f>
        <v>268</v>
      </c>
      <c r="V614" s="20" t="n">
        <f aca="false">ROUND((R614-Q614)*24,4)</f>
        <v>39.5</v>
      </c>
      <c r="W614" s="20" t="n">
        <f aca="false">ROUND((R614-P614)*24,4)</f>
        <v>43</v>
      </c>
      <c r="X614" s="18" t="str">
        <f aca="false">TEXT(P614,"dddd")</f>
        <v>Monday</v>
      </c>
      <c r="Y614" s="18" t="n">
        <f aca="false">HOUR(Q614)</f>
        <v>21</v>
      </c>
    </row>
    <row r="615" customFormat="false" ht="15" hidden="false" customHeight="false" outlineLevel="0" collapsed="false">
      <c r="A615" s="18" t="s">
        <v>32</v>
      </c>
      <c r="B615" s="18" t="s">
        <v>225</v>
      </c>
      <c r="C615" s="18" t="s">
        <v>226</v>
      </c>
      <c r="D615" s="18" t="s">
        <v>47</v>
      </c>
      <c r="E615" s="18" t="s">
        <v>168</v>
      </c>
      <c r="F615" s="18" t="n">
        <v>2610</v>
      </c>
      <c r="G615" s="18" t="s">
        <v>127</v>
      </c>
      <c r="H615" s="18" t="s">
        <v>322</v>
      </c>
      <c r="I615" s="18" t="s">
        <v>23</v>
      </c>
      <c r="J615" s="18" t="s">
        <v>13</v>
      </c>
      <c r="K615" s="18" t="s">
        <v>12</v>
      </c>
      <c r="L615" s="18" t="s">
        <v>125</v>
      </c>
      <c r="M615" s="18" t="s">
        <v>125</v>
      </c>
      <c r="N615" s="18" t="s">
        <v>125</v>
      </c>
      <c r="O615" s="18"/>
      <c r="P615" s="19" t="n">
        <v>46258.7916666667</v>
      </c>
      <c r="Q615" s="19" t="n">
        <v>46258.8333333333</v>
      </c>
      <c r="R615" s="19" t="n">
        <v>46259.2083333333</v>
      </c>
      <c r="S615" s="20" t="n">
        <f aca="false">ROUND((Q615-P615)*24,4)</f>
        <v>1</v>
      </c>
      <c r="T615" s="18" t="str">
        <f aca="false">TEXT(P615,"YYYY-MM")</f>
        <v>2026-08</v>
      </c>
      <c r="U615" s="18" t="n">
        <f aca="false">RANK(S615,$S$2:$S$670)+COUNTIF($S$2:S615,S615)-1</f>
        <v>557</v>
      </c>
      <c r="V615" s="20" t="n">
        <f aca="false">ROUND((R615-Q615)*24,4)</f>
        <v>9</v>
      </c>
      <c r="W615" s="20" t="n">
        <f aca="false">ROUND((R615-P615)*24,4)</f>
        <v>10</v>
      </c>
      <c r="X615" s="18" t="str">
        <f aca="false">TEXT(P615,"dddd")</f>
        <v>Monday</v>
      </c>
      <c r="Y615" s="18" t="n">
        <f aca="false">HOUR(Q615)</f>
        <v>20</v>
      </c>
    </row>
    <row r="616" customFormat="false" ht="15" hidden="false" customHeight="false" outlineLevel="0" collapsed="false">
      <c r="A616" s="18" t="s">
        <v>33</v>
      </c>
      <c r="B616" s="18" t="s">
        <v>246</v>
      </c>
      <c r="C616" s="18" t="s">
        <v>247</v>
      </c>
      <c r="D616" s="18" t="s">
        <v>51</v>
      </c>
      <c r="E616" s="18" t="s">
        <v>163</v>
      </c>
      <c r="F616" s="18" t="n">
        <v>150</v>
      </c>
      <c r="G616" s="18" t="s">
        <v>127</v>
      </c>
      <c r="H616" s="18" t="s">
        <v>341</v>
      </c>
      <c r="I616" s="18" t="s">
        <v>23</v>
      </c>
      <c r="J616" s="18" t="s">
        <v>13</v>
      </c>
      <c r="K616" s="18" t="s">
        <v>12</v>
      </c>
      <c r="L616" s="18" t="s">
        <v>125</v>
      </c>
      <c r="M616" s="18" t="s">
        <v>125</v>
      </c>
      <c r="N616" s="18" t="s">
        <v>125</v>
      </c>
      <c r="O616" s="18"/>
      <c r="P616" s="19" t="n">
        <v>46258.8333333333</v>
      </c>
      <c r="Q616" s="19" t="n">
        <v>46259.2708333333</v>
      </c>
      <c r="R616" s="19" t="n">
        <v>46259.6666666667</v>
      </c>
      <c r="S616" s="20" t="n">
        <f aca="false">ROUND((Q616-P616)*24,4)</f>
        <v>10.5</v>
      </c>
      <c r="T616" s="18" t="str">
        <f aca="false">TEXT(P616,"YYYY-MM")</f>
        <v>2026-08</v>
      </c>
      <c r="U616" s="18" t="n">
        <f aca="false">RANK(S616,$S$2:$S$670)+COUNTIF($S$2:S616,S616)-1</f>
        <v>136</v>
      </c>
      <c r="V616" s="20" t="n">
        <f aca="false">ROUND((R616-Q616)*24,4)</f>
        <v>9.5</v>
      </c>
      <c r="W616" s="20" t="n">
        <f aca="false">ROUND((R616-P616)*24,4)</f>
        <v>20</v>
      </c>
      <c r="X616" s="18" t="str">
        <f aca="false">TEXT(P616,"dddd")</f>
        <v>Monday</v>
      </c>
      <c r="Y616" s="18" t="n">
        <f aca="false">HOUR(Q616)</f>
        <v>6</v>
      </c>
    </row>
    <row r="617" customFormat="false" ht="15" hidden="false" customHeight="false" outlineLevel="0" collapsed="false">
      <c r="A617" s="18" t="s">
        <v>34</v>
      </c>
      <c r="B617" s="18" t="s">
        <v>233</v>
      </c>
      <c r="C617" s="18" t="s">
        <v>234</v>
      </c>
      <c r="D617" s="18" t="s">
        <v>46</v>
      </c>
      <c r="E617" s="18" t="s">
        <v>163</v>
      </c>
      <c r="F617" s="18" t="n">
        <v>2609</v>
      </c>
      <c r="G617" s="18" t="s">
        <v>127</v>
      </c>
      <c r="H617" s="18" t="s">
        <v>318</v>
      </c>
      <c r="I617" s="18" t="s">
        <v>23</v>
      </c>
      <c r="J617" s="18" t="s">
        <v>13</v>
      </c>
      <c r="K617" s="18" t="s">
        <v>12</v>
      </c>
      <c r="L617" s="18" t="s">
        <v>125</v>
      </c>
      <c r="M617" s="18" t="s">
        <v>125</v>
      </c>
      <c r="N617" s="18" t="s">
        <v>125</v>
      </c>
      <c r="O617" s="18"/>
      <c r="P617" s="19" t="n">
        <v>46259.2916666667</v>
      </c>
      <c r="Q617" s="19" t="n">
        <v>46259.625</v>
      </c>
      <c r="R617" s="19" t="n">
        <v>46260.1083333333</v>
      </c>
      <c r="S617" s="20" t="n">
        <f aca="false">ROUND((Q617-P617)*24,4)</f>
        <v>8</v>
      </c>
      <c r="T617" s="18" t="str">
        <f aca="false">TEXT(P617,"YYYY-MM")</f>
        <v>2026-08</v>
      </c>
      <c r="U617" s="18" t="n">
        <f aca="false">RANK(S617,$S$2:$S$670)+COUNTIF($S$2:S617,S617)-1</f>
        <v>178</v>
      </c>
      <c r="V617" s="20" t="n">
        <f aca="false">ROUND((R617-Q617)*24,4)</f>
        <v>11.6</v>
      </c>
      <c r="W617" s="20" t="n">
        <f aca="false">ROUND((R617-P617)*24,4)</f>
        <v>19.6</v>
      </c>
      <c r="X617" s="18" t="str">
        <f aca="false">TEXT(P617,"dddd")</f>
        <v>Tuesday</v>
      </c>
      <c r="Y617" s="18" t="n">
        <f aca="false">HOUR(Q617)</f>
        <v>15</v>
      </c>
    </row>
    <row r="618" customFormat="false" ht="15" hidden="false" customHeight="false" outlineLevel="0" collapsed="false">
      <c r="A618" s="18" t="s">
        <v>32</v>
      </c>
      <c r="B618" s="18" t="s">
        <v>225</v>
      </c>
      <c r="C618" s="18" t="s">
        <v>226</v>
      </c>
      <c r="D618" s="18" t="s">
        <v>47</v>
      </c>
      <c r="E618" s="18" t="s">
        <v>163</v>
      </c>
      <c r="F618" s="18" t="n">
        <v>2610</v>
      </c>
      <c r="G618" s="18" t="s">
        <v>125</v>
      </c>
      <c r="H618" s="18" t="s">
        <v>323</v>
      </c>
      <c r="I618" s="18" t="s">
        <v>17</v>
      </c>
      <c r="J618" s="18" t="s">
        <v>12</v>
      </c>
      <c r="K618" s="18" t="s">
        <v>13</v>
      </c>
      <c r="L618" s="18" t="s">
        <v>125</v>
      </c>
      <c r="M618" s="18" t="s">
        <v>125</v>
      </c>
      <c r="N618" s="18" t="s">
        <v>125</v>
      </c>
      <c r="O618" s="18"/>
      <c r="P618" s="19" t="n">
        <v>46259.2916666667</v>
      </c>
      <c r="Q618" s="19" t="n">
        <v>46259.75</v>
      </c>
      <c r="R618" s="19" t="n">
        <v>46260.875</v>
      </c>
      <c r="S618" s="20" t="n">
        <f aca="false">ROUND((Q618-P618)*24,4)</f>
        <v>11</v>
      </c>
      <c r="T618" s="18" t="str">
        <f aca="false">TEXT(P618,"YYYY-MM")</f>
        <v>2026-08</v>
      </c>
      <c r="U618" s="18" t="n">
        <f aca="false">RANK(S618,$S$2:$S$670)+COUNTIF($S$2:S618,S618)-1</f>
        <v>131</v>
      </c>
      <c r="V618" s="20" t="n">
        <f aca="false">ROUND((R618-Q618)*24,4)</f>
        <v>27</v>
      </c>
      <c r="W618" s="20" t="n">
        <f aca="false">ROUND((R618-P618)*24,4)</f>
        <v>38</v>
      </c>
      <c r="X618" s="18" t="str">
        <f aca="false">TEXT(P618,"dddd")</f>
        <v>Tuesday</v>
      </c>
      <c r="Y618" s="18" t="n">
        <f aca="false">HOUR(Q618)</f>
        <v>18</v>
      </c>
    </row>
    <row r="619" customFormat="false" ht="15" hidden="false" customHeight="false" outlineLevel="0" collapsed="false">
      <c r="A619" s="18" t="s">
        <v>33</v>
      </c>
      <c r="B619" s="18" t="s">
        <v>246</v>
      </c>
      <c r="C619" s="18" t="s">
        <v>247</v>
      </c>
      <c r="D619" s="18" t="s">
        <v>51</v>
      </c>
      <c r="E619" s="18" t="s">
        <v>176</v>
      </c>
      <c r="F619" s="18" t="n">
        <v>150</v>
      </c>
      <c r="G619" s="18" t="s">
        <v>125</v>
      </c>
      <c r="H619" s="18" t="s">
        <v>342</v>
      </c>
      <c r="I619" s="18" t="s">
        <v>18</v>
      </c>
      <c r="J619" s="18" t="s">
        <v>12</v>
      </c>
      <c r="K619" s="18" t="s">
        <v>13</v>
      </c>
      <c r="L619" s="18" t="s">
        <v>125</v>
      </c>
      <c r="M619" s="18" t="s">
        <v>125</v>
      </c>
      <c r="N619" s="18" t="s">
        <v>125</v>
      </c>
      <c r="O619" s="18"/>
      <c r="P619" s="19" t="n">
        <v>46259.75</v>
      </c>
      <c r="Q619" s="19" t="n">
        <v>46259.8333333333</v>
      </c>
      <c r="R619" s="19" t="n">
        <v>46260.625</v>
      </c>
      <c r="S619" s="20" t="n">
        <f aca="false">ROUND((Q619-P619)*24,4)</f>
        <v>2</v>
      </c>
      <c r="T619" s="18" t="str">
        <f aca="false">TEXT(P619,"YYYY-MM")</f>
        <v>2026-08</v>
      </c>
      <c r="U619" s="18" t="n">
        <f aca="false">RANK(S619,$S$2:$S$670)+COUNTIF($S$2:S619,S619)-1</f>
        <v>347</v>
      </c>
      <c r="V619" s="20" t="n">
        <f aca="false">ROUND((R619-Q619)*24,4)</f>
        <v>19</v>
      </c>
      <c r="W619" s="20" t="n">
        <f aca="false">ROUND((R619-P619)*24,4)</f>
        <v>21</v>
      </c>
      <c r="X619" s="18" t="str">
        <f aca="false">TEXT(P619,"dddd")</f>
        <v>Tuesday</v>
      </c>
      <c r="Y619" s="18" t="n">
        <f aca="false">HOUR(Q619)</f>
        <v>20</v>
      </c>
    </row>
    <row r="620" customFormat="false" ht="15" hidden="false" customHeight="false" outlineLevel="0" collapsed="false">
      <c r="A620" s="18" t="s">
        <v>34</v>
      </c>
      <c r="B620" s="18" t="s">
        <v>240</v>
      </c>
      <c r="C620" s="18" t="s">
        <v>241</v>
      </c>
      <c r="D620" s="18" t="s">
        <v>50</v>
      </c>
      <c r="E620" s="18" t="s">
        <v>163</v>
      </c>
      <c r="F620" s="18" t="n">
        <v>2610</v>
      </c>
      <c r="G620" s="18" t="s">
        <v>127</v>
      </c>
      <c r="H620" s="18" t="s">
        <v>322</v>
      </c>
      <c r="I620" s="18" t="s">
        <v>23</v>
      </c>
      <c r="J620" s="18" t="s">
        <v>13</v>
      </c>
      <c r="K620" s="18" t="s">
        <v>12</v>
      </c>
      <c r="L620" s="18" t="s">
        <v>125</v>
      </c>
      <c r="M620" s="18" t="s">
        <v>125</v>
      </c>
      <c r="N620" s="18" t="s">
        <v>125</v>
      </c>
      <c r="O620" s="18"/>
      <c r="P620" s="19" t="n">
        <v>46259.7916666667</v>
      </c>
      <c r="Q620" s="19" t="n">
        <v>46259.8333333333</v>
      </c>
      <c r="R620" s="19" t="n">
        <v>46260.2576388889</v>
      </c>
      <c r="S620" s="20" t="n">
        <f aca="false">ROUND((Q620-P620)*24,4)</f>
        <v>1</v>
      </c>
      <c r="T620" s="18" t="str">
        <f aca="false">TEXT(P620,"YYYY-MM")</f>
        <v>2026-08</v>
      </c>
      <c r="U620" s="18" t="n">
        <f aca="false">RANK(S620,$S$2:$S$670)+COUNTIF($S$2:S620,S620)-1</f>
        <v>558</v>
      </c>
      <c r="V620" s="20" t="n">
        <f aca="false">ROUND((R620-Q620)*24,4)</f>
        <v>10.1833</v>
      </c>
      <c r="W620" s="20" t="n">
        <f aca="false">ROUND((R620-P620)*24,4)</f>
        <v>11.1833</v>
      </c>
      <c r="X620" s="18" t="str">
        <f aca="false">TEXT(P620,"dddd")</f>
        <v>Tuesday</v>
      </c>
      <c r="Y620" s="18" t="n">
        <f aca="false">HOUR(Q620)</f>
        <v>20</v>
      </c>
    </row>
    <row r="621" customFormat="false" ht="15" hidden="false" customHeight="false" outlineLevel="0" collapsed="false">
      <c r="A621" s="18" t="s">
        <v>34</v>
      </c>
      <c r="B621" s="18" t="s">
        <v>233</v>
      </c>
      <c r="C621" s="18" t="s">
        <v>234</v>
      </c>
      <c r="D621" s="18" t="s">
        <v>46</v>
      </c>
      <c r="E621" s="18" t="s">
        <v>176</v>
      </c>
      <c r="F621" s="18" t="n">
        <v>2609</v>
      </c>
      <c r="G621" s="18" t="s">
        <v>125</v>
      </c>
      <c r="H621" s="18" t="s">
        <v>319</v>
      </c>
      <c r="I621" s="18" t="s">
        <v>17</v>
      </c>
      <c r="J621" s="18" t="s">
        <v>12</v>
      </c>
      <c r="K621" s="18" t="s">
        <v>13</v>
      </c>
      <c r="L621" s="18" t="s">
        <v>125</v>
      </c>
      <c r="M621" s="18" t="s">
        <v>125</v>
      </c>
      <c r="N621" s="18" t="s">
        <v>125</v>
      </c>
      <c r="O621" s="18"/>
      <c r="P621" s="19" t="n">
        <v>46260.2083333333</v>
      </c>
      <c r="Q621" s="19" t="n">
        <v>46260.7916666667</v>
      </c>
      <c r="R621" s="19" t="n">
        <v>46262.625</v>
      </c>
      <c r="S621" s="20" t="n">
        <f aca="false">ROUND((Q621-P621)*24,4)</f>
        <v>14</v>
      </c>
      <c r="T621" s="18" t="str">
        <f aca="false">TEXT(P621,"YYYY-MM")</f>
        <v>2026-08</v>
      </c>
      <c r="U621" s="18" t="n">
        <f aca="false">RANK(S621,$S$2:$S$670)+COUNTIF($S$2:S621,S621)-1</f>
        <v>99</v>
      </c>
      <c r="V621" s="20" t="n">
        <f aca="false">ROUND((R621-Q621)*24,4)</f>
        <v>44</v>
      </c>
      <c r="W621" s="20" t="n">
        <f aca="false">ROUND((R621-P621)*24,4)</f>
        <v>58</v>
      </c>
      <c r="X621" s="18" t="str">
        <f aca="false">TEXT(P621,"dddd")</f>
        <v>Wednesday</v>
      </c>
      <c r="Y621" s="18" t="n">
        <f aca="false">HOUR(Q621)</f>
        <v>19</v>
      </c>
    </row>
    <row r="622" customFormat="false" ht="15" hidden="false" customHeight="false" outlineLevel="0" collapsed="false">
      <c r="A622" s="18" t="s">
        <v>34</v>
      </c>
      <c r="B622" s="18" t="s">
        <v>240</v>
      </c>
      <c r="C622" s="18" t="s">
        <v>241</v>
      </c>
      <c r="D622" s="18" t="s">
        <v>50</v>
      </c>
      <c r="E622" s="18" t="s">
        <v>176</v>
      </c>
      <c r="F622" s="18" t="n">
        <v>2610</v>
      </c>
      <c r="G622" s="18" t="s">
        <v>125</v>
      </c>
      <c r="H622" s="18" t="s">
        <v>323</v>
      </c>
      <c r="I622" s="18" t="s">
        <v>17</v>
      </c>
      <c r="J622" s="18" t="s">
        <v>12</v>
      </c>
      <c r="K622" s="18" t="s">
        <v>13</v>
      </c>
      <c r="L622" s="18" t="s">
        <v>125</v>
      </c>
      <c r="M622" s="18" t="s">
        <v>125</v>
      </c>
      <c r="N622" s="18" t="s">
        <v>125</v>
      </c>
      <c r="O622" s="18"/>
      <c r="P622" s="19" t="n">
        <v>46260.3333333333</v>
      </c>
      <c r="Q622" s="19" t="n">
        <v>46260.8333333333</v>
      </c>
      <c r="R622" s="19" t="n">
        <v>46262.625</v>
      </c>
      <c r="S622" s="20" t="n">
        <f aca="false">ROUND((Q622-P622)*24,4)</f>
        <v>12</v>
      </c>
      <c r="T622" s="18" t="str">
        <f aca="false">TEXT(P622,"YYYY-MM")</f>
        <v>2026-08</v>
      </c>
      <c r="U622" s="18" t="n">
        <f aca="false">RANK(S622,$S$2:$S$670)+COUNTIF($S$2:S622,S622)-1</f>
        <v>119</v>
      </c>
      <c r="V622" s="20" t="n">
        <f aca="false">ROUND((R622-Q622)*24,4)</f>
        <v>43</v>
      </c>
      <c r="W622" s="20" t="n">
        <f aca="false">ROUND((R622-P622)*24,4)</f>
        <v>55</v>
      </c>
      <c r="X622" s="18" t="str">
        <f aca="false">TEXT(P622,"dddd")</f>
        <v>Wednesday</v>
      </c>
      <c r="Y622" s="18" t="n">
        <f aca="false">HOUR(Q622)</f>
        <v>20</v>
      </c>
    </row>
    <row r="623" customFormat="false" ht="15" hidden="false" customHeight="false" outlineLevel="0" collapsed="false">
      <c r="A623" s="18" t="s">
        <v>33</v>
      </c>
      <c r="B623" s="18" t="s">
        <v>267</v>
      </c>
      <c r="C623" s="18" t="s">
        <v>268</v>
      </c>
      <c r="D623" s="18" t="s">
        <v>46</v>
      </c>
      <c r="E623" s="18" t="s">
        <v>163</v>
      </c>
      <c r="F623" s="18" t="n">
        <v>2614</v>
      </c>
      <c r="G623" s="18" t="s">
        <v>127</v>
      </c>
      <c r="H623" s="18" t="s">
        <v>343</v>
      </c>
      <c r="I623" s="18" t="s">
        <v>23</v>
      </c>
      <c r="J623" s="18" t="s">
        <v>13</v>
      </c>
      <c r="K623" s="18" t="s">
        <v>12</v>
      </c>
      <c r="L623" s="18" t="s">
        <v>125</v>
      </c>
      <c r="M623" s="18" t="s">
        <v>125</v>
      </c>
      <c r="N623" s="18" t="s">
        <v>125</v>
      </c>
      <c r="O623" s="18"/>
      <c r="P623" s="19" t="n">
        <v>46260.3333333333</v>
      </c>
      <c r="Q623" s="19" t="n">
        <v>46260.375</v>
      </c>
      <c r="R623" s="19" t="n">
        <v>46260.75</v>
      </c>
      <c r="S623" s="20" t="n">
        <f aca="false">ROUND((Q623-P623)*24,4)</f>
        <v>1</v>
      </c>
      <c r="T623" s="18" t="str">
        <f aca="false">TEXT(P623,"YYYY-MM")</f>
        <v>2026-08</v>
      </c>
      <c r="U623" s="18" t="n">
        <f aca="false">RANK(S623,$S$2:$S$670)+COUNTIF($S$2:S623,S623)-1</f>
        <v>559</v>
      </c>
      <c r="V623" s="20" t="n">
        <f aca="false">ROUND((R623-Q623)*24,4)</f>
        <v>9</v>
      </c>
      <c r="W623" s="20" t="n">
        <f aca="false">ROUND((R623-P623)*24,4)</f>
        <v>10</v>
      </c>
      <c r="X623" s="18" t="str">
        <f aca="false">TEXT(P623,"dddd")</f>
        <v>Wednesday</v>
      </c>
      <c r="Y623" s="18" t="n">
        <f aca="false">HOUR(Q623)</f>
        <v>9</v>
      </c>
    </row>
    <row r="624" customFormat="false" ht="15" hidden="false" customHeight="false" outlineLevel="0" collapsed="false">
      <c r="A624" s="18" t="s">
        <v>36</v>
      </c>
      <c r="B624" s="18" t="s">
        <v>223</v>
      </c>
      <c r="C624" s="18" t="s">
        <v>224</v>
      </c>
      <c r="D624" s="18" t="s">
        <v>47</v>
      </c>
      <c r="E624" s="18" t="s">
        <v>176</v>
      </c>
      <c r="F624" s="18" t="n">
        <v>2609</v>
      </c>
      <c r="G624" s="18" t="s">
        <v>125</v>
      </c>
      <c r="H624" s="18" t="s">
        <v>319</v>
      </c>
      <c r="I624" s="18" t="s">
        <v>23</v>
      </c>
      <c r="J624" s="18" t="s">
        <v>13</v>
      </c>
      <c r="K624" s="18" t="s">
        <v>186</v>
      </c>
      <c r="L624" s="18" t="s">
        <v>125</v>
      </c>
      <c r="M624" s="18" t="s">
        <v>144</v>
      </c>
      <c r="N624" s="18" t="s">
        <v>144</v>
      </c>
      <c r="O624" s="18"/>
      <c r="P624" s="19" t="n">
        <v>46260.75</v>
      </c>
      <c r="Q624" s="19" t="n">
        <v>46261.5</v>
      </c>
      <c r="R624" s="19" t="n">
        <v>46261.8333333333</v>
      </c>
      <c r="S624" s="20" t="n">
        <f aca="false">ROUND((Q624-P624)*24,4)</f>
        <v>18</v>
      </c>
      <c r="T624" s="18" t="str">
        <f aca="false">TEXT(P624,"YYYY-MM")</f>
        <v>2026-08</v>
      </c>
      <c r="U624" s="18" t="n">
        <f aca="false">RANK(S624,$S$2:$S$670)+COUNTIF($S$2:S624,S624)-1</f>
        <v>63</v>
      </c>
      <c r="V624" s="20" t="n">
        <f aca="false">ROUND((R624-Q624)*24,4)</f>
        <v>8</v>
      </c>
      <c r="W624" s="20" t="n">
        <f aca="false">ROUND((R624-P624)*24,4)</f>
        <v>26</v>
      </c>
      <c r="X624" s="18" t="str">
        <f aca="false">TEXT(P624,"dddd")</f>
        <v>Wednesday</v>
      </c>
      <c r="Y624" s="18" t="n">
        <f aca="false">HOUR(Q624)</f>
        <v>12</v>
      </c>
    </row>
    <row r="625" customFormat="false" ht="15" hidden="false" customHeight="false" outlineLevel="0" collapsed="false">
      <c r="A625" s="18" t="s">
        <v>33</v>
      </c>
      <c r="B625" s="18" t="s">
        <v>246</v>
      </c>
      <c r="C625" s="18" t="s">
        <v>247</v>
      </c>
      <c r="D625" s="18" t="s">
        <v>51</v>
      </c>
      <c r="E625" s="18" t="s">
        <v>185</v>
      </c>
      <c r="F625" s="18" t="n">
        <v>150</v>
      </c>
      <c r="G625" s="18" t="s">
        <v>125</v>
      </c>
      <c r="H625" s="18" t="s">
        <v>342</v>
      </c>
      <c r="I625" s="18" t="s">
        <v>23</v>
      </c>
      <c r="J625" s="18" t="s">
        <v>13</v>
      </c>
      <c r="K625" s="18" t="s">
        <v>165</v>
      </c>
      <c r="L625" s="18" t="s">
        <v>125</v>
      </c>
      <c r="M625" s="18" t="s">
        <v>125</v>
      </c>
      <c r="N625" s="18" t="s">
        <v>125</v>
      </c>
      <c r="O625" s="18"/>
      <c r="P625" s="19" t="n">
        <v>46260.7916666667</v>
      </c>
      <c r="Q625" s="19" t="n">
        <v>46260.8333333333</v>
      </c>
      <c r="R625" s="19" t="n">
        <v>46261.125</v>
      </c>
      <c r="S625" s="20" t="n">
        <f aca="false">ROUND((Q625-P625)*24,4)</f>
        <v>1</v>
      </c>
      <c r="T625" s="18" t="str">
        <f aca="false">TEXT(P625,"YYYY-MM")</f>
        <v>2026-08</v>
      </c>
      <c r="U625" s="18" t="n">
        <f aca="false">RANK(S625,$S$2:$S$670)+COUNTIF($S$2:S625,S625)-1</f>
        <v>560</v>
      </c>
      <c r="V625" s="20" t="n">
        <f aca="false">ROUND((R625-Q625)*24,4)</f>
        <v>7</v>
      </c>
      <c r="W625" s="20" t="n">
        <f aca="false">ROUND((R625-P625)*24,4)</f>
        <v>8</v>
      </c>
      <c r="X625" s="18" t="str">
        <f aca="false">TEXT(P625,"dddd")</f>
        <v>Wednesday</v>
      </c>
      <c r="Y625" s="18" t="n">
        <f aca="false">HOUR(Q625)</f>
        <v>20</v>
      </c>
    </row>
    <row r="626" customFormat="false" ht="15" hidden="false" customHeight="false" outlineLevel="0" collapsed="false">
      <c r="A626" s="18" t="s">
        <v>35</v>
      </c>
      <c r="B626" s="18" t="s">
        <v>228</v>
      </c>
      <c r="C626" s="18" t="s">
        <v>229</v>
      </c>
      <c r="D626" s="18" t="s">
        <v>52</v>
      </c>
      <c r="E626" s="18" t="s">
        <v>163</v>
      </c>
      <c r="F626" s="18" t="n">
        <v>2608</v>
      </c>
      <c r="G626" s="18" t="s">
        <v>125</v>
      </c>
      <c r="H626" s="18" t="s">
        <v>302</v>
      </c>
      <c r="I626" s="18" t="s">
        <v>24</v>
      </c>
      <c r="J626" s="18" t="s">
        <v>13</v>
      </c>
      <c r="K626" s="18" t="s">
        <v>186</v>
      </c>
      <c r="L626" s="18" t="s">
        <v>125</v>
      </c>
      <c r="M626" s="18" t="s">
        <v>125</v>
      </c>
      <c r="N626" s="18" t="s">
        <v>125</v>
      </c>
      <c r="O626" s="18"/>
      <c r="P626" s="19" t="n">
        <v>46260.8333333333</v>
      </c>
      <c r="Q626" s="19" t="n">
        <v>46261.1666666667</v>
      </c>
      <c r="R626" s="19" t="n">
        <v>46261.7083333333</v>
      </c>
      <c r="S626" s="20" t="n">
        <f aca="false">ROUND((Q626-P626)*24,4)</f>
        <v>8</v>
      </c>
      <c r="T626" s="18" t="str">
        <f aca="false">TEXT(P626,"YYYY-MM")</f>
        <v>2026-08</v>
      </c>
      <c r="U626" s="18" t="n">
        <f aca="false">RANK(S626,$S$2:$S$670)+COUNTIF($S$2:S626,S626)-1</f>
        <v>179</v>
      </c>
      <c r="V626" s="20" t="n">
        <f aca="false">ROUND((R626-Q626)*24,4)</f>
        <v>13</v>
      </c>
      <c r="W626" s="20" t="n">
        <f aca="false">ROUND((R626-P626)*24,4)</f>
        <v>21</v>
      </c>
      <c r="X626" s="18" t="str">
        <f aca="false">TEXT(P626,"dddd")</f>
        <v>Wednesday</v>
      </c>
      <c r="Y626" s="18" t="n">
        <f aca="false">HOUR(Q626)</f>
        <v>4</v>
      </c>
    </row>
    <row r="627" customFormat="false" ht="15" hidden="false" customHeight="false" outlineLevel="0" collapsed="false">
      <c r="A627" s="18" t="s">
        <v>39</v>
      </c>
      <c r="B627" s="18" t="s">
        <v>238</v>
      </c>
      <c r="C627" s="18" t="s">
        <v>239</v>
      </c>
      <c r="D627" s="18" t="s">
        <v>50</v>
      </c>
      <c r="E627" s="18" t="s">
        <v>176</v>
      </c>
      <c r="F627" s="18" t="n">
        <v>2610</v>
      </c>
      <c r="G627" s="18" t="s">
        <v>125</v>
      </c>
      <c r="H627" s="18" t="s">
        <v>323</v>
      </c>
      <c r="I627" s="18" t="s">
        <v>25</v>
      </c>
      <c r="J627" s="18" t="s">
        <v>13</v>
      </c>
      <c r="K627" s="18" t="s">
        <v>216</v>
      </c>
      <c r="L627" s="18" t="s">
        <v>125</v>
      </c>
      <c r="M627" s="18" t="s">
        <v>125</v>
      </c>
      <c r="N627" s="18" t="s">
        <v>125</v>
      </c>
      <c r="O627" s="18"/>
      <c r="P627" s="19" t="n">
        <v>46260.9166666667</v>
      </c>
      <c r="Q627" s="19" t="n">
        <v>46260.9583333333</v>
      </c>
      <c r="R627" s="19" t="n">
        <v>46261.7125</v>
      </c>
      <c r="S627" s="20" t="n">
        <f aca="false">ROUND((Q627-P627)*24,4)</f>
        <v>1</v>
      </c>
      <c r="T627" s="18" t="str">
        <f aca="false">TEXT(P627,"YYYY-MM")</f>
        <v>2026-08</v>
      </c>
      <c r="U627" s="18" t="n">
        <f aca="false">RANK(S627,$S$2:$S$670)+COUNTIF($S$2:S627,S627)-1</f>
        <v>561</v>
      </c>
      <c r="V627" s="20" t="n">
        <f aca="false">ROUND((R627-Q627)*24,4)</f>
        <v>18.1</v>
      </c>
      <c r="W627" s="20" t="n">
        <f aca="false">ROUND((R627-P627)*24,4)</f>
        <v>19.1</v>
      </c>
      <c r="X627" s="18" t="str">
        <f aca="false">TEXT(P627,"dddd")</f>
        <v>Wednesday</v>
      </c>
      <c r="Y627" s="18" t="n">
        <f aca="false">HOUR(Q627)</f>
        <v>23</v>
      </c>
    </row>
    <row r="628" customFormat="false" ht="15" hidden="false" customHeight="false" outlineLevel="0" collapsed="false">
      <c r="A628" s="18" t="s">
        <v>33</v>
      </c>
      <c r="B628" s="18" t="s">
        <v>267</v>
      </c>
      <c r="C628" s="18" t="s">
        <v>268</v>
      </c>
      <c r="D628" s="18" t="s">
        <v>46</v>
      </c>
      <c r="E628" s="18" t="s">
        <v>176</v>
      </c>
      <c r="F628" s="18" t="n">
        <v>2614</v>
      </c>
      <c r="G628" s="18" t="s">
        <v>125</v>
      </c>
      <c r="H628" s="18" t="s">
        <v>344</v>
      </c>
      <c r="I628" s="18" t="s">
        <v>18</v>
      </c>
      <c r="J628" s="18" t="s">
        <v>12</v>
      </c>
      <c r="K628" s="18" t="s">
        <v>13</v>
      </c>
      <c r="L628" s="18" t="s">
        <v>125</v>
      </c>
      <c r="M628" s="18" t="s">
        <v>125</v>
      </c>
      <c r="N628" s="18" t="s">
        <v>125</v>
      </c>
      <c r="O628" s="18"/>
      <c r="P628" s="19" t="n">
        <v>46260.9583333333</v>
      </c>
      <c r="Q628" s="19" t="n">
        <v>46261.0416666667</v>
      </c>
      <c r="R628" s="19" t="n">
        <v>46261.6666666667</v>
      </c>
      <c r="S628" s="20" t="n">
        <f aca="false">ROUND((Q628-P628)*24,4)</f>
        <v>2</v>
      </c>
      <c r="T628" s="18" t="str">
        <f aca="false">TEXT(P628,"YYYY-MM")</f>
        <v>2026-08</v>
      </c>
      <c r="U628" s="18" t="n">
        <f aca="false">RANK(S628,$S$2:$S$670)+COUNTIF($S$2:S628,S628)-1</f>
        <v>348</v>
      </c>
      <c r="V628" s="20" t="n">
        <f aca="false">ROUND((R628-Q628)*24,4)</f>
        <v>15</v>
      </c>
      <c r="W628" s="20" t="n">
        <f aca="false">ROUND((R628-P628)*24,4)</f>
        <v>17</v>
      </c>
      <c r="X628" s="18" t="str">
        <f aca="false">TEXT(P628,"dddd")</f>
        <v>Wednesday</v>
      </c>
      <c r="Y628" s="18" t="n">
        <f aca="false">HOUR(Q628)</f>
        <v>1</v>
      </c>
    </row>
    <row r="629" customFormat="false" ht="15" hidden="false" customHeight="false" outlineLevel="0" collapsed="false">
      <c r="A629" s="18" t="s">
        <v>32</v>
      </c>
      <c r="B629" s="18" t="s">
        <v>225</v>
      </c>
      <c r="C629" s="18" t="s">
        <v>226</v>
      </c>
      <c r="D629" s="18" t="s">
        <v>47</v>
      </c>
      <c r="E629" s="18" t="s">
        <v>176</v>
      </c>
      <c r="F629" s="18" t="n">
        <v>2610</v>
      </c>
      <c r="G629" s="18" t="s">
        <v>125</v>
      </c>
      <c r="H629" s="18" t="s">
        <v>323</v>
      </c>
      <c r="I629" s="18" t="s">
        <v>23</v>
      </c>
      <c r="J629" s="18" t="s">
        <v>13</v>
      </c>
      <c r="K629" s="18" t="s">
        <v>186</v>
      </c>
      <c r="L629" s="18" t="s">
        <v>125</v>
      </c>
      <c r="M629" s="18" t="s">
        <v>125</v>
      </c>
      <c r="N629" s="18" t="s">
        <v>125</v>
      </c>
      <c r="O629" s="18"/>
      <c r="P629" s="19" t="n">
        <v>46261.0416666667</v>
      </c>
      <c r="Q629" s="19" t="n">
        <v>46261.8333333333</v>
      </c>
      <c r="R629" s="19" t="n">
        <v>46262.5</v>
      </c>
      <c r="S629" s="20" t="n">
        <f aca="false">ROUND((Q629-P629)*24,4)</f>
        <v>19</v>
      </c>
      <c r="T629" s="18" t="str">
        <f aca="false">TEXT(P629,"YYYY-MM")</f>
        <v>2026-08</v>
      </c>
      <c r="U629" s="18" t="n">
        <f aca="false">RANK(S629,$S$2:$S$670)+COUNTIF($S$2:S629,S629)-1</f>
        <v>55</v>
      </c>
      <c r="V629" s="20" t="n">
        <f aca="false">ROUND((R629-Q629)*24,4)</f>
        <v>16</v>
      </c>
      <c r="W629" s="20" t="n">
        <f aca="false">ROUND((R629-P629)*24,4)</f>
        <v>35</v>
      </c>
      <c r="X629" s="18" t="str">
        <f aca="false">TEXT(P629,"dddd")</f>
        <v>Thursday</v>
      </c>
      <c r="Y629" s="18" t="n">
        <f aca="false">HOUR(Q629)</f>
        <v>20</v>
      </c>
    </row>
    <row r="630" customFormat="false" ht="15" hidden="false" customHeight="false" outlineLevel="0" collapsed="false">
      <c r="A630" s="18" t="s">
        <v>33</v>
      </c>
      <c r="B630" s="18" t="s">
        <v>267</v>
      </c>
      <c r="C630" s="18" t="s">
        <v>268</v>
      </c>
      <c r="D630" s="18" t="s">
        <v>46</v>
      </c>
      <c r="E630" s="18" t="s">
        <v>185</v>
      </c>
      <c r="F630" s="18" t="n">
        <v>2614</v>
      </c>
      <c r="G630" s="18" t="s">
        <v>125</v>
      </c>
      <c r="H630" s="18" t="s">
        <v>344</v>
      </c>
      <c r="I630" s="18" t="s">
        <v>23</v>
      </c>
      <c r="J630" s="18" t="s">
        <v>13</v>
      </c>
      <c r="K630" s="18" t="s">
        <v>165</v>
      </c>
      <c r="L630" s="18" t="s">
        <v>125</v>
      </c>
      <c r="M630" s="18" t="s">
        <v>125</v>
      </c>
      <c r="N630" s="18" t="s">
        <v>125</v>
      </c>
      <c r="O630" s="18"/>
      <c r="P630" s="19" t="n">
        <v>46261.8333333333</v>
      </c>
      <c r="Q630" s="19" t="n">
        <v>46262.5416666667</v>
      </c>
      <c r="R630" s="19" t="n">
        <v>46263.0416666667</v>
      </c>
      <c r="S630" s="20" t="n">
        <f aca="false">ROUND((Q630-P630)*24,4)</f>
        <v>17</v>
      </c>
      <c r="T630" s="18" t="str">
        <f aca="false">TEXT(P630,"YYYY-MM")</f>
        <v>2026-08</v>
      </c>
      <c r="U630" s="18" t="n">
        <f aca="false">RANK(S630,$S$2:$S$670)+COUNTIF($S$2:S630,S630)-1</f>
        <v>70</v>
      </c>
      <c r="V630" s="20" t="n">
        <f aca="false">ROUND((R630-Q630)*24,4)</f>
        <v>12</v>
      </c>
      <c r="W630" s="20" t="n">
        <f aca="false">ROUND((R630-P630)*24,4)</f>
        <v>29</v>
      </c>
      <c r="X630" s="18" t="str">
        <f aca="false">TEXT(P630,"dddd")</f>
        <v>Thursday</v>
      </c>
      <c r="Y630" s="18" t="n">
        <f aca="false">HOUR(Q630)</f>
        <v>13</v>
      </c>
    </row>
    <row r="631" customFormat="false" ht="15" hidden="false" customHeight="false" outlineLevel="0" collapsed="false">
      <c r="A631" s="18" t="s">
        <v>36</v>
      </c>
      <c r="B631" s="18" t="s">
        <v>326</v>
      </c>
      <c r="C631" s="18" t="s">
        <v>327</v>
      </c>
      <c r="D631" s="18" t="s">
        <v>47</v>
      </c>
      <c r="E631" s="18" t="s">
        <v>168</v>
      </c>
      <c r="F631" s="18" t="n">
        <v>2613</v>
      </c>
      <c r="G631" s="18" t="s">
        <v>127</v>
      </c>
      <c r="H631" s="18" t="s">
        <v>345</v>
      </c>
      <c r="I631" s="18" t="s">
        <v>24</v>
      </c>
      <c r="J631" s="18" t="s">
        <v>13</v>
      </c>
      <c r="K631" s="18" t="s">
        <v>12</v>
      </c>
      <c r="L631" s="18" t="s">
        <v>125</v>
      </c>
      <c r="M631" s="18" t="s">
        <v>144</v>
      </c>
      <c r="N631" s="18" t="s">
        <v>144</v>
      </c>
      <c r="O631" s="18"/>
      <c r="P631" s="19" t="n">
        <v>46262.5</v>
      </c>
      <c r="Q631" s="19" t="n">
        <v>46262.7083333333</v>
      </c>
      <c r="R631" s="19" t="n">
        <v>46263.0416666667</v>
      </c>
      <c r="S631" s="20" t="n">
        <f aca="false">ROUND((Q631-P631)*24,4)</f>
        <v>5</v>
      </c>
      <c r="T631" s="18" t="str">
        <f aca="false">TEXT(P631,"YYYY-MM")</f>
        <v>2026-08</v>
      </c>
      <c r="U631" s="18" t="n">
        <f aca="false">RANK(S631,$S$2:$S$670)+COUNTIF($S$2:S631,S631)-1</f>
        <v>237</v>
      </c>
      <c r="V631" s="20" t="n">
        <f aca="false">ROUND((R631-Q631)*24,4)</f>
        <v>8</v>
      </c>
      <c r="W631" s="20" t="n">
        <f aca="false">ROUND((R631-P631)*24,4)</f>
        <v>13</v>
      </c>
      <c r="X631" s="18" t="str">
        <f aca="false">TEXT(P631,"dddd")</f>
        <v>Friday</v>
      </c>
      <c r="Y631" s="18" t="n">
        <f aca="false">HOUR(Q631)</f>
        <v>17</v>
      </c>
    </row>
    <row r="632" customFormat="false" ht="15" hidden="false" customHeight="false" outlineLevel="0" collapsed="false">
      <c r="A632" s="18" t="s">
        <v>34</v>
      </c>
      <c r="B632" s="18" t="s">
        <v>240</v>
      </c>
      <c r="C632" s="18" t="s">
        <v>241</v>
      </c>
      <c r="D632" s="18" t="s">
        <v>50</v>
      </c>
      <c r="E632" s="18" t="s">
        <v>185</v>
      </c>
      <c r="F632" s="18" t="n">
        <v>2610</v>
      </c>
      <c r="G632" s="18" t="s">
        <v>125</v>
      </c>
      <c r="H632" s="18" t="s">
        <v>323</v>
      </c>
      <c r="I632" s="18" t="s">
        <v>23</v>
      </c>
      <c r="J632" s="18" t="s">
        <v>13</v>
      </c>
      <c r="K632" s="18" t="s">
        <v>165</v>
      </c>
      <c r="L632" s="18" t="s">
        <v>125</v>
      </c>
      <c r="M632" s="18" t="s">
        <v>125</v>
      </c>
      <c r="N632" s="18" t="s">
        <v>125</v>
      </c>
      <c r="O632" s="18"/>
      <c r="P632" s="19" t="n">
        <v>46262.8333333333</v>
      </c>
      <c r="Q632" s="19" t="n">
        <v>46263.7083333333</v>
      </c>
      <c r="R632" s="19" t="n">
        <v>46264.125</v>
      </c>
      <c r="S632" s="20" t="n">
        <f aca="false">ROUND((Q632-P632)*24,4)</f>
        <v>21</v>
      </c>
      <c r="T632" s="18" t="str">
        <f aca="false">TEXT(P632,"YYYY-MM")</f>
        <v>2026-08</v>
      </c>
      <c r="U632" s="18" t="n">
        <f aca="false">RANK(S632,$S$2:$S$670)+COUNTIF($S$2:S632,S632)-1</f>
        <v>42</v>
      </c>
      <c r="V632" s="20" t="n">
        <f aca="false">ROUND((R632-Q632)*24,4)</f>
        <v>10</v>
      </c>
      <c r="W632" s="20" t="n">
        <f aca="false">ROUND((R632-P632)*24,4)</f>
        <v>31</v>
      </c>
      <c r="X632" s="18" t="str">
        <f aca="false">TEXT(P632,"dddd")</f>
        <v>Friday</v>
      </c>
      <c r="Y632" s="18" t="n">
        <f aca="false">HOUR(Q632)</f>
        <v>17</v>
      </c>
    </row>
    <row r="633" customFormat="false" ht="15" hidden="false" customHeight="false" outlineLevel="0" collapsed="false">
      <c r="A633" s="18" t="s">
        <v>34</v>
      </c>
      <c r="B633" s="18" t="s">
        <v>233</v>
      </c>
      <c r="C633" s="18" t="s">
        <v>234</v>
      </c>
      <c r="D633" s="18" t="s">
        <v>46</v>
      </c>
      <c r="E633" s="18" t="s">
        <v>185</v>
      </c>
      <c r="F633" s="18" t="n">
        <v>2609</v>
      </c>
      <c r="G633" s="18" t="s">
        <v>125</v>
      </c>
      <c r="H633" s="18" t="s">
        <v>319</v>
      </c>
      <c r="I633" s="18" t="s">
        <v>23</v>
      </c>
      <c r="J633" s="18" t="s">
        <v>13</v>
      </c>
      <c r="K633" s="18" t="s">
        <v>165</v>
      </c>
      <c r="L633" s="18" t="s">
        <v>125</v>
      </c>
      <c r="M633" s="18" t="s">
        <v>125</v>
      </c>
      <c r="N633" s="18" t="s">
        <v>125</v>
      </c>
      <c r="O633" s="18"/>
      <c r="P633" s="19" t="n">
        <v>46262.8333333333</v>
      </c>
      <c r="Q633" s="19" t="n">
        <v>46263.2083333333</v>
      </c>
      <c r="R633" s="19" t="n">
        <v>46263.625</v>
      </c>
      <c r="S633" s="20" t="n">
        <f aca="false">ROUND((Q633-P633)*24,4)</f>
        <v>9</v>
      </c>
      <c r="T633" s="18" t="str">
        <f aca="false">TEXT(P633,"YYYY-MM")</f>
        <v>2026-08</v>
      </c>
      <c r="U633" s="18" t="n">
        <f aca="false">RANK(S633,$S$2:$S$670)+COUNTIF($S$2:S633,S633)-1</f>
        <v>165</v>
      </c>
      <c r="V633" s="20" t="n">
        <f aca="false">ROUND((R633-Q633)*24,4)</f>
        <v>10</v>
      </c>
      <c r="W633" s="20" t="n">
        <f aca="false">ROUND((R633-P633)*24,4)</f>
        <v>19</v>
      </c>
      <c r="X633" s="18" t="str">
        <f aca="false">TEXT(P633,"dddd")</f>
        <v>Friday</v>
      </c>
      <c r="Y633" s="18" t="n">
        <f aca="false">HOUR(Q633)</f>
        <v>5</v>
      </c>
    </row>
    <row r="634" customFormat="false" ht="15" hidden="false" customHeight="false" outlineLevel="0" collapsed="false">
      <c r="A634" s="18" t="s">
        <v>36</v>
      </c>
      <c r="B634" s="18" t="s">
        <v>326</v>
      </c>
      <c r="C634" s="18" t="s">
        <v>327</v>
      </c>
      <c r="D634" s="18" t="s">
        <v>47</v>
      </c>
      <c r="E634" s="18" t="s">
        <v>163</v>
      </c>
      <c r="F634" s="18" t="n">
        <v>2613</v>
      </c>
      <c r="G634" s="18" t="s">
        <v>125</v>
      </c>
      <c r="H634" s="18" t="s">
        <v>346</v>
      </c>
      <c r="I634" s="18" t="s">
        <v>17</v>
      </c>
      <c r="J634" s="18" t="s">
        <v>12</v>
      </c>
      <c r="K634" s="18" t="s">
        <v>13</v>
      </c>
      <c r="L634" s="18" t="s">
        <v>125</v>
      </c>
      <c r="M634" s="18" t="s">
        <v>144</v>
      </c>
      <c r="N634" s="18" t="s">
        <v>144</v>
      </c>
      <c r="O634" s="18"/>
      <c r="P634" s="19" t="n">
        <v>46263.125</v>
      </c>
      <c r="Q634" s="19" t="n">
        <v>46263.2916666667</v>
      </c>
      <c r="R634" s="19" t="n">
        <v>46264.1666666667</v>
      </c>
      <c r="S634" s="20" t="n">
        <f aca="false">ROUND((Q634-P634)*24,4)</f>
        <v>4</v>
      </c>
      <c r="T634" s="18" t="str">
        <f aca="false">TEXT(P634,"YYYY-MM")</f>
        <v>2026-08</v>
      </c>
      <c r="U634" s="18" t="n">
        <f aca="false">RANK(S634,$S$2:$S$670)+COUNTIF($S$2:S634,S634)-1</f>
        <v>259</v>
      </c>
      <c r="V634" s="20" t="n">
        <f aca="false">ROUND((R634-Q634)*24,4)</f>
        <v>21</v>
      </c>
      <c r="W634" s="20" t="n">
        <f aca="false">ROUND((R634-P634)*24,4)</f>
        <v>25</v>
      </c>
      <c r="X634" s="18" t="str">
        <f aca="false">TEXT(P634,"dddd")</f>
        <v>Saturday</v>
      </c>
      <c r="Y634" s="18" t="n">
        <f aca="false">HOUR(Q634)</f>
        <v>7</v>
      </c>
    </row>
    <row r="635" customFormat="false" ht="15" hidden="false" customHeight="false" outlineLevel="0" collapsed="false">
      <c r="A635" s="18" t="s">
        <v>33</v>
      </c>
      <c r="B635" s="18" t="s">
        <v>174</v>
      </c>
      <c r="C635" s="18" t="s">
        <v>175</v>
      </c>
      <c r="D635" s="18" t="s">
        <v>49</v>
      </c>
      <c r="E635" s="18" t="s">
        <v>163</v>
      </c>
      <c r="F635" s="18" t="n">
        <v>2610</v>
      </c>
      <c r="G635" s="18" t="s">
        <v>127</v>
      </c>
      <c r="H635" s="18" t="s">
        <v>322</v>
      </c>
      <c r="I635" s="18" t="s">
        <v>23</v>
      </c>
      <c r="J635" s="18" t="s">
        <v>13</v>
      </c>
      <c r="K635" s="18" t="s">
        <v>12</v>
      </c>
      <c r="L635" s="18" t="s">
        <v>125</v>
      </c>
      <c r="M635" s="18" t="s">
        <v>125</v>
      </c>
      <c r="N635" s="18" t="s">
        <v>125</v>
      </c>
      <c r="O635" s="18"/>
      <c r="P635" s="19" t="n">
        <v>46263.7083333333</v>
      </c>
      <c r="Q635" s="19" t="n">
        <v>46263.75</v>
      </c>
      <c r="R635" s="19" t="n">
        <v>46264.0416666667</v>
      </c>
      <c r="S635" s="20" t="n">
        <f aca="false">ROUND((Q635-P635)*24,4)</f>
        <v>1</v>
      </c>
      <c r="T635" s="18" t="str">
        <f aca="false">TEXT(P635,"YYYY-MM")</f>
        <v>2026-08</v>
      </c>
      <c r="U635" s="18" t="n">
        <f aca="false">RANK(S635,$S$2:$S$670)+COUNTIF($S$2:S635,S635)-1</f>
        <v>562</v>
      </c>
      <c r="V635" s="20" t="n">
        <f aca="false">ROUND((R635-Q635)*24,4)</f>
        <v>7</v>
      </c>
      <c r="W635" s="20" t="n">
        <f aca="false">ROUND((R635-P635)*24,4)</f>
        <v>8</v>
      </c>
      <c r="X635" s="18" t="str">
        <f aca="false">TEXT(P635,"dddd")</f>
        <v>Saturday</v>
      </c>
      <c r="Y635" s="18" t="n">
        <f aca="false">HOUR(Q635)</f>
        <v>18</v>
      </c>
    </row>
    <row r="636" customFormat="false" ht="15" hidden="false" customHeight="false" outlineLevel="0" collapsed="false">
      <c r="A636" s="18" t="s">
        <v>33</v>
      </c>
      <c r="B636" s="18" t="s">
        <v>174</v>
      </c>
      <c r="C636" s="18" t="s">
        <v>175</v>
      </c>
      <c r="D636" s="18" t="s">
        <v>49</v>
      </c>
      <c r="E636" s="18" t="s">
        <v>176</v>
      </c>
      <c r="F636" s="18" t="n">
        <v>2610</v>
      </c>
      <c r="G636" s="18" t="s">
        <v>125</v>
      </c>
      <c r="H636" s="18" t="s">
        <v>323</v>
      </c>
      <c r="I636" s="18" t="s">
        <v>18</v>
      </c>
      <c r="J636" s="18" t="s">
        <v>12</v>
      </c>
      <c r="K636" s="18" t="s">
        <v>13</v>
      </c>
      <c r="L636" s="18" t="s">
        <v>125</v>
      </c>
      <c r="M636" s="18" t="s">
        <v>125</v>
      </c>
      <c r="N636" s="18" t="s">
        <v>125</v>
      </c>
      <c r="O636" s="18"/>
      <c r="P636" s="19" t="n">
        <v>46264.1666666667</v>
      </c>
      <c r="Q636" s="19" t="n">
        <v>46264.25</v>
      </c>
      <c r="R636" s="19" t="n">
        <v>46264.7916666667</v>
      </c>
      <c r="S636" s="20" t="n">
        <f aca="false">ROUND((Q636-P636)*24,4)</f>
        <v>2</v>
      </c>
      <c r="T636" s="18" t="str">
        <f aca="false">TEXT(P636,"YYYY-MM")</f>
        <v>2026-08</v>
      </c>
      <c r="U636" s="18" t="n">
        <f aca="false">RANK(S636,$S$2:$S$670)+COUNTIF($S$2:S636,S636)-1</f>
        <v>349</v>
      </c>
      <c r="V636" s="20" t="n">
        <f aca="false">ROUND((R636-Q636)*24,4)</f>
        <v>13</v>
      </c>
      <c r="W636" s="20" t="n">
        <f aca="false">ROUND((R636-P636)*24,4)</f>
        <v>15</v>
      </c>
      <c r="X636" s="18" t="str">
        <f aca="false">TEXT(P636,"dddd")</f>
        <v>Sunday</v>
      </c>
      <c r="Y636" s="18" t="n">
        <f aca="false">HOUR(Q636)</f>
        <v>6</v>
      </c>
    </row>
    <row r="637" customFormat="false" ht="15" hidden="false" customHeight="false" outlineLevel="0" collapsed="false">
      <c r="A637" s="18" t="s">
        <v>35</v>
      </c>
      <c r="B637" s="18" t="s">
        <v>166</v>
      </c>
      <c r="C637" s="18" t="s">
        <v>167</v>
      </c>
      <c r="D637" s="18" t="s">
        <v>47</v>
      </c>
      <c r="E637" s="18" t="s">
        <v>198</v>
      </c>
      <c r="F637" s="18" t="n">
        <v>2609</v>
      </c>
      <c r="G637" s="18" t="s">
        <v>127</v>
      </c>
      <c r="H637" s="18" t="s">
        <v>318</v>
      </c>
      <c r="I637" s="18" t="s">
        <v>28</v>
      </c>
      <c r="J637" s="18" t="s">
        <v>13</v>
      </c>
      <c r="K637" s="18" t="s">
        <v>12</v>
      </c>
      <c r="L637" s="18" t="s">
        <v>125</v>
      </c>
      <c r="M637" s="18" t="s">
        <v>125</v>
      </c>
      <c r="N637" s="18" t="s">
        <v>144</v>
      </c>
      <c r="O637" s="18"/>
      <c r="P637" s="19" t="n">
        <v>46264.3333333333</v>
      </c>
      <c r="Q637" s="19" t="n">
        <v>46264.375</v>
      </c>
      <c r="R637" s="19" t="n">
        <v>46264.7083333333</v>
      </c>
      <c r="S637" s="20" t="n">
        <f aca="false">ROUND((Q637-P637)*24,4)</f>
        <v>1</v>
      </c>
      <c r="T637" s="18" t="str">
        <f aca="false">TEXT(P637,"YYYY-MM")</f>
        <v>2026-08</v>
      </c>
      <c r="U637" s="18" t="n">
        <f aca="false">RANK(S637,$S$2:$S$670)+COUNTIF($S$2:S637,S637)-1</f>
        <v>563</v>
      </c>
      <c r="V637" s="20" t="n">
        <f aca="false">ROUND((R637-Q637)*24,4)</f>
        <v>8</v>
      </c>
      <c r="W637" s="20" t="n">
        <f aca="false">ROUND((R637-P637)*24,4)</f>
        <v>9</v>
      </c>
      <c r="X637" s="18" t="str">
        <f aca="false">TEXT(P637,"dddd")</f>
        <v>Sunday</v>
      </c>
      <c r="Y637" s="18" t="n">
        <f aca="false">HOUR(Q637)</f>
        <v>9</v>
      </c>
    </row>
    <row r="638" customFormat="false" ht="15" hidden="false" customHeight="false" outlineLevel="0" collapsed="false">
      <c r="A638" s="18" t="s">
        <v>36</v>
      </c>
      <c r="B638" s="18" t="s">
        <v>326</v>
      </c>
      <c r="C638" s="18" t="s">
        <v>327</v>
      </c>
      <c r="D638" s="18" t="s">
        <v>47</v>
      </c>
      <c r="E638" s="18" t="s">
        <v>176</v>
      </c>
      <c r="F638" s="18" t="n">
        <v>2613</v>
      </c>
      <c r="G638" s="18" t="s">
        <v>125</v>
      </c>
      <c r="H638" s="18" t="s">
        <v>346</v>
      </c>
      <c r="I638" s="18" t="s">
        <v>23</v>
      </c>
      <c r="J638" s="18" t="s">
        <v>13</v>
      </c>
      <c r="K638" s="18" t="s">
        <v>186</v>
      </c>
      <c r="L638" s="18" t="s">
        <v>125</v>
      </c>
      <c r="M638" s="18" t="s">
        <v>144</v>
      </c>
      <c r="N638" s="18" t="s">
        <v>144</v>
      </c>
      <c r="O638" s="18"/>
      <c r="P638" s="19" t="n">
        <v>46264.375</v>
      </c>
      <c r="Q638" s="19" t="n">
        <v>46264.6083333333</v>
      </c>
      <c r="R638" s="19" t="n">
        <v>46265.1298611111</v>
      </c>
      <c r="S638" s="20" t="n">
        <f aca="false">ROUND((Q638-P638)*24,4)</f>
        <v>5.6</v>
      </c>
      <c r="T638" s="18" t="str">
        <f aca="false">TEXT(P638,"YYYY-MM")</f>
        <v>2026-08</v>
      </c>
      <c r="U638" s="18" t="n">
        <f aca="false">RANK(S638,$S$2:$S$670)+COUNTIF($S$2:S638,S638)-1</f>
        <v>220</v>
      </c>
      <c r="V638" s="20" t="n">
        <f aca="false">ROUND((R638-Q638)*24,4)</f>
        <v>12.5167</v>
      </c>
      <c r="W638" s="20" t="n">
        <f aca="false">ROUND((R638-P638)*24,4)</f>
        <v>18.1167</v>
      </c>
      <c r="X638" s="18" t="str">
        <f aca="false">TEXT(P638,"dddd")</f>
        <v>Sunday</v>
      </c>
      <c r="Y638" s="18" t="n">
        <f aca="false">HOUR(Q638)</f>
        <v>14</v>
      </c>
    </row>
    <row r="639" customFormat="false" ht="15" hidden="false" customHeight="false" outlineLevel="0" collapsed="false">
      <c r="A639" s="18" t="s">
        <v>35</v>
      </c>
      <c r="B639" s="18" t="s">
        <v>166</v>
      </c>
      <c r="C639" s="18" t="s">
        <v>167</v>
      </c>
      <c r="D639" s="18" t="s">
        <v>47</v>
      </c>
      <c r="E639" s="18" t="s">
        <v>168</v>
      </c>
      <c r="F639" s="18" t="n">
        <v>2609</v>
      </c>
      <c r="G639" s="18" t="s">
        <v>125</v>
      </c>
      <c r="H639" s="18" t="s">
        <v>319</v>
      </c>
      <c r="I639" s="18" t="s">
        <v>19</v>
      </c>
      <c r="J639" s="18" t="s">
        <v>12</v>
      </c>
      <c r="K639" s="18" t="s">
        <v>13</v>
      </c>
      <c r="L639" s="18" t="s">
        <v>125</v>
      </c>
      <c r="M639" s="18" t="s">
        <v>125</v>
      </c>
      <c r="N639" s="18" t="s">
        <v>125</v>
      </c>
      <c r="O639" s="18"/>
      <c r="P639" s="19" t="n">
        <v>46264.7916666667</v>
      </c>
      <c r="Q639" s="19" t="n">
        <v>46264.9166666667</v>
      </c>
      <c r="R639" s="19" t="n">
        <v>46266.25</v>
      </c>
      <c r="S639" s="20" t="n">
        <f aca="false">ROUND((Q639-P639)*24,4)</f>
        <v>3</v>
      </c>
      <c r="T639" s="18" t="str">
        <f aca="false">TEXT(P639,"YYYY-MM")</f>
        <v>2026-08</v>
      </c>
      <c r="U639" s="18" t="n">
        <f aca="false">RANK(S639,$S$2:$S$670)+COUNTIF($S$2:S639,S639)-1</f>
        <v>296</v>
      </c>
      <c r="V639" s="20" t="n">
        <f aca="false">ROUND((R639-Q639)*24,4)</f>
        <v>32</v>
      </c>
      <c r="W639" s="20" t="n">
        <f aca="false">ROUND((R639-P639)*24,4)</f>
        <v>35</v>
      </c>
      <c r="X639" s="18" t="str">
        <f aca="false">TEXT(P639,"dddd")</f>
        <v>Sunday</v>
      </c>
      <c r="Y639" s="18" t="n">
        <f aca="false">HOUR(Q639)</f>
        <v>22</v>
      </c>
    </row>
    <row r="640" customFormat="false" ht="15" hidden="false" customHeight="false" outlineLevel="0" collapsed="false">
      <c r="A640" s="18" t="s">
        <v>33</v>
      </c>
      <c r="B640" s="18" t="s">
        <v>174</v>
      </c>
      <c r="C640" s="18" t="s">
        <v>175</v>
      </c>
      <c r="D640" s="18" t="s">
        <v>49</v>
      </c>
      <c r="E640" s="18" t="s">
        <v>185</v>
      </c>
      <c r="F640" s="18" t="n">
        <v>2610</v>
      </c>
      <c r="G640" s="18" t="s">
        <v>125</v>
      </c>
      <c r="H640" s="18" t="s">
        <v>323</v>
      </c>
      <c r="I640" s="18" t="s">
        <v>23</v>
      </c>
      <c r="J640" s="18" t="s">
        <v>13</v>
      </c>
      <c r="K640" s="18" t="s">
        <v>165</v>
      </c>
      <c r="L640" s="18" t="s">
        <v>125</v>
      </c>
      <c r="M640" s="18" t="s">
        <v>125</v>
      </c>
      <c r="N640" s="18" t="s">
        <v>125</v>
      </c>
      <c r="O640" s="18"/>
      <c r="P640" s="19" t="n">
        <v>46264.9583333333</v>
      </c>
      <c r="Q640" s="19" t="n">
        <v>46265.1666666667</v>
      </c>
      <c r="R640" s="19" t="n">
        <v>46265.5</v>
      </c>
      <c r="S640" s="20" t="n">
        <f aca="false">ROUND((Q640-P640)*24,4)</f>
        <v>5</v>
      </c>
      <c r="T640" s="18" t="str">
        <f aca="false">TEXT(P640,"YYYY-MM")</f>
        <v>2026-08</v>
      </c>
      <c r="U640" s="18" t="n">
        <f aca="false">RANK(S640,$S$2:$S$670)+COUNTIF($S$2:S640,S640)-1</f>
        <v>238</v>
      </c>
      <c r="V640" s="20" t="n">
        <f aca="false">ROUND((R640-Q640)*24,4)</f>
        <v>8</v>
      </c>
      <c r="W640" s="20" t="n">
        <f aca="false">ROUND((R640-P640)*24,4)</f>
        <v>13</v>
      </c>
      <c r="X640" s="18" t="str">
        <f aca="false">TEXT(P640,"dddd")</f>
        <v>Sunday</v>
      </c>
      <c r="Y640" s="18" t="n">
        <f aca="false">HOUR(Q640)</f>
        <v>4</v>
      </c>
    </row>
    <row r="641" customFormat="false" ht="15" hidden="false" customHeight="false" outlineLevel="0" collapsed="false">
      <c r="A641" s="18" t="s">
        <v>39</v>
      </c>
      <c r="B641" s="18" t="s">
        <v>196</v>
      </c>
      <c r="C641" s="18" t="s">
        <v>197</v>
      </c>
      <c r="D641" s="18" t="s">
        <v>46</v>
      </c>
      <c r="E641" s="18" t="s">
        <v>176</v>
      </c>
      <c r="F641" s="18" t="n">
        <v>2608</v>
      </c>
      <c r="G641" s="18" t="s">
        <v>125</v>
      </c>
      <c r="H641" s="18" t="s">
        <v>302</v>
      </c>
      <c r="I641" s="18" t="s">
        <v>27</v>
      </c>
      <c r="J641" s="18" t="s">
        <v>13</v>
      </c>
      <c r="K641" s="18" t="s">
        <v>216</v>
      </c>
      <c r="L641" s="18" t="s">
        <v>125</v>
      </c>
      <c r="M641" s="18" t="s">
        <v>125</v>
      </c>
      <c r="N641" s="18" t="s">
        <v>125</v>
      </c>
      <c r="O641" s="18"/>
      <c r="P641" s="19" t="n">
        <v>46265.1666666667</v>
      </c>
      <c r="Q641" s="19" t="n">
        <v>46265.2083333333</v>
      </c>
      <c r="R641" s="19" t="n">
        <v>46266.0034722222</v>
      </c>
      <c r="S641" s="20" t="n">
        <f aca="false">ROUND((Q641-P641)*24,4)</f>
        <v>1</v>
      </c>
      <c r="T641" s="18" t="str">
        <f aca="false">TEXT(P641,"YYYY-MM")</f>
        <v>2026-08</v>
      </c>
      <c r="U641" s="18" t="n">
        <f aca="false">RANK(S641,$S$2:$S$670)+COUNTIF($S$2:S641,S641)-1</f>
        <v>564</v>
      </c>
      <c r="V641" s="20" t="n">
        <f aca="false">ROUND((R641-Q641)*24,4)</f>
        <v>19.0833</v>
      </c>
      <c r="W641" s="20" t="n">
        <f aca="false">ROUND((R641-P641)*24,4)</f>
        <v>20.0833</v>
      </c>
      <c r="X641" s="18" t="str">
        <f aca="false">TEXT(P641,"dddd")</f>
        <v>Monday</v>
      </c>
      <c r="Y641" s="18" t="n">
        <f aca="false">HOUR(Q641)</f>
        <v>5</v>
      </c>
    </row>
    <row r="642" customFormat="false" ht="15" hidden="false" customHeight="false" outlineLevel="0" collapsed="false">
      <c r="A642" s="18" t="s">
        <v>38</v>
      </c>
      <c r="B642" s="18" t="s">
        <v>244</v>
      </c>
      <c r="C642" s="18" t="s">
        <v>245</v>
      </c>
      <c r="D642" s="18" t="s">
        <v>47</v>
      </c>
      <c r="E642" s="18" t="s">
        <v>163</v>
      </c>
      <c r="F642" s="18" t="n">
        <v>2607</v>
      </c>
      <c r="G642" s="18" t="s">
        <v>127</v>
      </c>
      <c r="H642" s="18" t="s">
        <v>289</v>
      </c>
      <c r="I642" s="18" t="s">
        <v>23</v>
      </c>
      <c r="J642" s="18" t="s">
        <v>13</v>
      </c>
      <c r="K642" s="18" t="s">
        <v>181</v>
      </c>
      <c r="L642" s="18" t="s">
        <v>125</v>
      </c>
      <c r="M642" s="18" t="s">
        <v>125</v>
      </c>
      <c r="N642" s="18" t="s">
        <v>125</v>
      </c>
      <c r="O642" s="18"/>
      <c r="P642" s="19" t="n">
        <v>46265.375</v>
      </c>
      <c r="Q642" s="19" t="n">
        <v>46265.6666666667</v>
      </c>
      <c r="R642" s="19" t="n">
        <v>46266.2916666667</v>
      </c>
      <c r="S642" s="20" t="n">
        <f aca="false">ROUND((Q642-P642)*24,4)</f>
        <v>7</v>
      </c>
      <c r="T642" s="18" t="str">
        <f aca="false">TEXT(P642,"YYYY-MM")</f>
        <v>2026-08</v>
      </c>
      <c r="U642" s="18" t="n">
        <f aca="false">RANK(S642,$S$2:$S$670)+COUNTIF($S$2:S642,S642)-1</f>
        <v>196</v>
      </c>
      <c r="V642" s="20" t="n">
        <f aca="false">ROUND((R642-Q642)*24,4)</f>
        <v>15</v>
      </c>
      <c r="W642" s="20" t="n">
        <f aca="false">ROUND((R642-P642)*24,4)</f>
        <v>22</v>
      </c>
      <c r="X642" s="18" t="str">
        <f aca="false">TEXT(P642,"dddd")</f>
        <v>Monday</v>
      </c>
      <c r="Y642" s="18" t="n">
        <f aca="false">HOUR(Q642)</f>
        <v>16</v>
      </c>
    </row>
    <row r="643" customFormat="false" ht="15" hidden="false" customHeight="false" outlineLevel="0" collapsed="false">
      <c r="A643" s="18" t="s">
        <v>31</v>
      </c>
      <c r="B643" s="18" t="s">
        <v>347</v>
      </c>
      <c r="C643" s="18" t="s">
        <v>348</v>
      </c>
      <c r="D643" s="18" t="s">
        <v>47</v>
      </c>
      <c r="E643" s="18" t="s">
        <v>198</v>
      </c>
      <c r="F643" s="18" t="n">
        <v>2614</v>
      </c>
      <c r="G643" s="18" t="s">
        <v>127</v>
      </c>
      <c r="H643" s="18" t="s">
        <v>343</v>
      </c>
      <c r="I643" s="18" t="s">
        <v>20</v>
      </c>
      <c r="J643" s="18" t="s">
        <v>13</v>
      </c>
      <c r="K643" s="18" t="s">
        <v>12</v>
      </c>
      <c r="L643" s="18" t="s">
        <v>125</v>
      </c>
      <c r="M643" s="18" t="s">
        <v>125</v>
      </c>
      <c r="N643" s="18" t="s">
        <v>125</v>
      </c>
      <c r="O643" s="18"/>
      <c r="P643" s="19" t="n">
        <v>46265.8333333333</v>
      </c>
      <c r="Q643" s="19" t="n">
        <v>46265.875</v>
      </c>
      <c r="R643" s="19" t="n">
        <v>46266.25</v>
      </c>
      <c r="S643" s="20" t="n">
        <f aca="false">ROUND((Q643-P643)*24,4)</f>
        <v>1</v>
      </c>
      <c r="T643" s="18" t="str">
        <f aca="false">TEXT(P643,"YYYY-MM")</f>
        <v>2026-08</v>
      </c>
      <c r="U643" s="18" t="n">
        <f aca="false">RANK(S643,$S$2:$S$670)+COUNTIF($S$2:S643,S643)-1</f>
        <v>565</v>
      </c>
      <c r="V643" s="20" t="n">
        <f aca="false">ROUND((R643-Q643)*24,4)</f>
        <v>9</v>
      </c>
      <c r="W643" s="20" t="n">
        <f aca="false">ROUND((R643-P643)*24,4)</f>
        <v>10</v>
      </c>
      <c r="X643" s="18" t="str">
        <f aca="false">TEXT(P643,"dddd")</f>
        <v>Monday</v>
      </c>
      <c r="Y643" s="18" t="n">
        <f aca="false">HOUR(Q643)</f>
        <v>21</v>
      </c>
    </row>
    <row r="644" customFormat="false" ht="15" hidden="false" customHeight="false" outlineLevel="0" collapsed="false">
      <c r="A644" s="18" t="s">
        <v>31</v>
      </c>
      <c r="B644" s="18" t="s">
        <v>347</v>
      </c>
      <c r="C644" s="18" t="s">
        <v>348</v>
      </c>
      <c r="D644" s="18" t="s">
        <v>47</v>
      </c>
      <c r="E644" s="18" t="s">
        <v>168</v>
      </c>
      <c r="F644" s="18" t="n">
        <v>2614</v>
      </c>
      <c r="G644" s="18" t="s">
        <v>125</v>
      </c>
      <c r="H644" s="18" t="s">
        <v>344</v>
      </c>
      <c r="I644" s="18" t="s">
        <v>18</v>
      </c>
      <c r="J644" s="18" t="s">
        <v>12</v>
      </c>
      <c r="K644" s="18" t="s">
        <v>13</v>
      </c>
      <c r="L644" s="18" t="s">
        <v>125</v>
      </c>
      <c r="M644" s="18" t="s">
        <v>125</v>
      </c>
      <c r="N644" s="18" t="s">
        <v>125</v>
      </c>
      <c r="O644" s="18"/>
      <c r="P644" s="19" t="n">
        <v>46266.3506944445</v>
      </c>
      <c r="Q644" s="19" t="n">
        <v>46266.4166666667</v>
      </c>
      <c r="R644" s="19" t="n">
        <v>46267.25</v>
      </c>
      <c r="S644" s="20" t="n">
        <f aca="false">ROUND((Q644-P644)*24,4)</f>
        <v>1.5833</v>
      </c>
      <c r="T644" s="18" t="str">
        <f aca="false">TEXT(P644,"YYYY-MM")</f>
        <v>2026-09</v>
      </c>
      <c r="U644" s="18" t="n">
        <f aca="false">RANK(S644,$S$2:$S$670)+COUNTIF($S$2:S644,S644)-1</f>
        <v>355</v>
      </c>
      <c r="V644" s="20" t="n">
        <f aca="false">ROUND((R644-Q644)*24,4)</f>
        <v>20</v>
      </c>
      <c r="W644" s="20" t="n">
        <f aca="false">ROUND((R644-P644)*24,4)</f>
        <v>21.5833</v>
      </c>
      <c r="X644" s="18" t="str">
        <f aca="false">TEXT(P644,"dddd")</f>
        <v>Tuesday</v>
      </c>
      <c r="Y644" s="18" t="n">
        <f aca="false">HOUR(Q644)</f>
        <v>10</v>
      </c>
    </row>
    <row r="645" customFormat="false" ht="15" hidden="false" customHeight="false" outlineLevel="0" collapsed="false">
      <c r="A645" s="18" t="s">
        <v>35</v>
      </c>
      <c r="B645" s="18" t="s">
        <v>166</v>
      </c>
      <c r="C645" s="18" t="s">
        <v>167</v>
      </c>
      <c r="D645" s="18" t="s">
        <v>47</v>
      </c>
      <c r="E645" s="18" t="s">
        <v>163</v>
      </c>
      <c r="F645" s="18" t="n">
        <v>2609</v>
      </c>
      <c r="G645" s="18" t="s">
        <v>125</v>
      </c>
      <c r="H645" s="18" t="s">
        <v>319</v>
      </c>
      <c r="I645" s="18" t="s">
        <v>28</v>
      </c>
      <c r="J645" s="18" t="s">
        <v>13</v>
      </c>
      <c r="K645" s="18" t="s">
        <v>186</v>
      </c>
      <c r="L645" s="18" t="s">
        <v>125</v>
      </c>
      <c r="M645" s="18" t="s">
        <v>144</v>
      </c>
      <c r="N645" s="18" t="s">
        <v>125</v>
      </c>
      <c r="O645" s="18"/>
      <c r="P645" s="19" t="n">
        <v>46266.4583333333</v>
      </c>
      <c r="Q645" s="19" t="n">
        <v>46266.5</v>
      </c>
      <c r="R645" s="19" t="n">
        <v>46266.875</v>
      </c>
      <c r="S645" s="20" t="n">
        <f aca="false">ROUND((Q645-P645)*24,4)</f>
        <v>1</v>
      </c>
      <c r="T645" s="18" t="str">
        <f aca="false">TEXT(P645,"YYYY-MM")</f>
        <v>2026-09</v>
      </c>
      <c r="U645" s="18" t="n">
        <f aca="false">RANK(S645,$S$2:$S$670)+COUNTIF($S$2:S645,S645)-1</f>
        <v>566</v>
      </c>
      <c r="V645" s="20" t="n">
        <f aca="false">ROUND((R645-Q645)*24,4)</f>
        <v>9</v>
      </c>
      <c r="W645" s="20" t="n">
        <f aca="false">ROUND((R645-P645)*24,4)</f>
        <v>10</v>
      </c>
      <c r="X645" s="18" t="str">
        <f aca="false">TEXT(P645,"dddd")</f>
        <v>Tuesday</v>
      </c>
      <c r="Y645" s="18" t="n">
        <f aca="false">HOUR(Q645)</f>
        <v>12</v>
      </c>
    </row>
    <row r="646" customFormat="false" ht="15" hidden="false" customHeight="false" outlineLevel="0" collapsed="false">
      <c r="A646" s="18" t="s">
        <v>31</v>
      </c>
      <c r="B646" s="18" t="s">
        <v>347</v>
      </c>
      <c r="C646" s="18" t="s">
        <v>348</v>
      </c>
      <c r="D646" s="18" t="s">
        <v>47</v>
      </c>
      <c r="E646" s="18" t="s">
        <v>163</v>
      </c>
      <c r="F646" s="18" t="n">
        <v>2614</v>
      </c>
      <c r="G646" s="18" t="s">
        <v>125</v>
      </c>
      <c r="H646" s="18" t="s">
        <v>344</v>
      </c>
      <c r="I646" s="18" t="s">
        <v>20</v>
      </c>
      <c r="J646" s="18" t="s">
        <v>13</v>
      </c>
      <c r="K646" s="18" t="s">
        <v>165</v>
      </c>
      <c r="L646" s="18" t="s">
        <v>125</v>
      </c>
      <c r="M646" s="18" t="s">
        <v>125</v>
      </c>
      <c r="N646" s="18" t="s">
        <v>125</v>
      </c>
      <c r="O646" s="18"/>
      <c r="P646" s="19" t="n">
        <v>46267.5</v>
      </c>
      <c r="Q646" s="19" t="n">
        <v>46267.5416666667</v>
      </c>
      <c r="R646" s="19" t="n">
        <v>46267.9166666667</v>
      </c>
      <c r="S646" s="20" t="n">
        <f aca="false">ROUND((Q646-P646)*24,4)</f>
        <v>1</v>
      </c>
      <c r="T646" s="18" t="str">
        <f aca="false">TEXT(P646,"YYYY-MM")</f>
        <v>2026-09</v>
      </c>
      <c r="U646" s="18" t="n">
        <f aca="false">RANK(S646,$S$2:$S$670)+COUNTIF($S$2:S646,S646)-1</f>
        <v>567</v>
      </c>
      <c r="V646" s="20" t="n">
        <f aca="false">ROUND((R646-Q646)*24,4)</f>
        <v>9</v>
      </c>
      <c r="W646" s="20" t="n">
        <f aca="false">ROUND((R646-P646)*24,4)</f>
        <v>10</v>
      </c>
      <c r="X646" s="18" t="str">
        <f aca="false">TEXT(P646,"dddd")</f>
        <v>Wednesday</v>
      </c>
      <c r="Y646" s="18" t="n">
        <f aca="false">HOUR(Q646)</f>
        <v>13</v>
      </c>
    </row>
    <row r="647" customFormat="false" ht="15" hidden="false" customHeight="false" outlineLevel="0" collapsed="false">
      <c r="A647" s="18" t="s">
        <v>32</v>
      </c>
      <c r="B647" s="18" t="s">
        <v>182</v>
      </c>
      <c r="C647" s="18" t="s">
        <v>183</v>
      </c>
      <c r="D647" s="18" t="s">
        <v>48</v>
      </c>
      <c r="E647" s="18" t="s">
        <v>168</v>
      </c>
      <c r="F647" s="18" t="n">
        <v>2610</v>
      </c>
      <c r="G647" s="18" t="s">
        <v>127</v>
      </c>
      <c r="H647" s="18" t="s">
        <v>322</v>
      </c>
      <c r="I647" s="18" t="s">
        <v>23</v>
      </c>
      <c r="J647" s="18" t="s">
        <v>13</v>
      </c>
      <c r="K647" s="18" t="s">
        <v>12</v>
      </c>
      <c r="L647" s="18" t="s">
        <v>125</v>
      </c>
      <c r="M647" s="18" t="s">
        <v>125</v>
      </c>
      <c r="N647" s="18" t="s">
        <v>125</v>
      </c>
      <c r="O647" s="18"/>
      <c r="P647" s="19" t="n">
        <v>46267.875</v>
      </c>
      <c r="Q647" s="19" t="n">
        <v>46267.9166666667</v>
      </c>
      <c r="R647" s="19" t="n">
        <v>46268.1666666667</v>
      </c>
      <c r="S647" s="20" t="n">
        <f aca="false">ROUND((Q647-P647)*24,4)</f>
        <v>1</v>
      </c>
      <c r="T647" s="18" t="str">
        <f aca="false">TEXT(P647,"YYYY-MM")</f>
        <v>2026-09</v>
      </c>
      <c r="U647" s="18" t="n">
        <f aca="false">RANK(S647,$S$2:$S$670)+COUNTIF($S$2:S647,S647)-1</f>
        <v>568</v>
      </c>
      <c r="V647" s="20" t="n">
        <f aca="false">ROUND((R647-Q647)*24,4)</f>
        <v>6</v>
      </c>
      <c r="W647" s="20" t="n">
        <f aca="false">ROUND((R647-P647)*24,4)</f>
        <v>7</v>
      </c>
      <c r="X647" s="18" t="str">
        <f aca="false">TEXT(P647,"dddd")</f>
        <v>Wednesday</v>
      </c>
      <c r="Y647" s="18" t="n">
        <f aca="false">HOUR(Q647)</f>
        <v>22</v>
      </c>
    </row>
    <row r="648" customFormat="false" ht="15" hidden="false" customHeight="false" outlineLevel="0" collapsed="false">
      <c r="A648" s="18" t="s">
        <v>32</v>
      </c>
      <c r="B648" s="18" t="s">
        <v>182</v>
      </c>
      <c r="C648" s="18" t="s">
        <v>183</v>
      </c>
      <c r="D648" s="18" t="s">
        <v>48</v>
      </c>
      <c r="E648" s="18" t="s">
        <v>163</v>
      </c>
      <c r="F648" s="18" t="n">
        <v>2610</v>
      </c>
      <c r="G648" s="18" t="s">
        <v>125</v>
      </c>
      <c r="H648" s="18" t="s">
        <v>323</v>
      </c>
      <c r="I648" s="18" t="s">
        <v>17</v>
      </c>
      <c r="J648" s="18" t="s">
        <v>12</v>
      </c>
      <c r="K648" s="18" t="s">
        <v>13</v>
      </c>
      <c r="L648" s="18" t="s">
        <v>125</v>
      </c>
      <c r="M648" s="18" t="s">
        <v>125</v>
      </c>
      <c r="N648" s="18" t="s">
        <v>125</v>
      </c>
      <c r="O648" s="18"/>
      <c r="P648" s="19" t="n">
        <v>46268.2916666667</v>
      </c>
      <c r="Q648" s="19" t="n">
        <v>46268.4166666667</v>
      </c>
      <c r="R648" s="19" t="n">
        <v>46269.625</v>
      </c>
      <c r="S648" s="20" t="n">
        <f aca="false">ROUND((Q648-P648)*24,4)</f>
        <v>3</v>
      </c>
      <c r="T648" s="18" t="str">
        <f aca="false">TEXT(P648,"YYYY-MM")</f>
        <v>2026-09</v>
      </c>
      <c r="U648" s="18" t="n">
        <f aca="false">RANK(S648,$S$2:$S$670)+COUNTIF($S$2:S648,S648)-1</f>
        <v>297</v>
      </c>
      <c r="V648" s="20" t="n">
        <f aca="false">ROUND((R648-Q648)*24,4)</f>
        <v>29</v>
      </c>
      <c r="W648" s="20" t="n">
        <f aca="false">ROUND((R648-P648)*24,4)</f>
        <v>32</v>
      </c>
      <c r="X648" s="18" t="str">
        <f aca="false">TEXT(P648,"dddd")</f>
        <v>Thursday</v>
      </c>
      <c r="Y648" s="18" t="n">
        <f aca="false">HOUR(Q648)</f>
        <v>10</v>
      </c>
    </row>
    <row r="649" customFormat="false" ht="15" hidden="false" customHeight="false" outlineLevel="0" collapsed="false">
      <c r="A649" s="18" t="s">
        <v>31</v>
      </c>
      <c r="B649" s="18" t="s">
        <v>291</v>
      </c>
      <c r="C649" s="18" t="s">
        <v>292</v>
      </c>
      <c r="D649" s="18" t="s">
        <v>53</v>
      </c>
      <c r="E649" s="18" t="s">
        <v>198</v>
      </c>
      <c r="F649" s="18" t="n">
        <v>2608</v>
      </c>
      <c r="G649" s="18" t="s">
        <v>127</v>
      </c>
      <c r="H649" s="18" t="s">
        <v>301</v>
      </c>
      <c r="I649" s="18" t="s">
        <v>24</v>
      </c>
      <c r="J649" s="18" t="s">
        <v>13</v>
      </c>
      <c r="K649" s="18" t="s">
        <v>12</v>
      </c>
      <c r="L649" s="18" t="s">
        <v>144</v>
      </c>
      <c r="M649" s="18" t="s">
        <v>125</v>
      </c>
      <c r="N649" s="18" t="s">
        <v>125</v>
      </c>
      <c r="O649" s="18" t="s">
        <v>308</v>
      </c>
      <c r="P649" s="19" t="n">
        <v>46268.6569444445</v>
      </c>
      <c r="Q649" s="19" t="n">
        <v>46268.6576388889</v>
      </c>
      <c r="R649" s="19" t="n">
        <v>46268.6583333333</v>
      </c>
      <c r="S649" s="20" t="n">
        <f aca="false">ROUND((Q649-P649)*24,4)</f>
        <v>0.0167</v>
      </c>
      <c r="T649" s="18" t="str">
        <f aca="false">TEXT(P649,"YYYY-MM")</f>
        <v>2026-09</v>
      </c>
      <c r="U649" s="18" t="n">
        <f aca="false">RANK(S649,$S$2:$S$670)+COUNTIF($S$2:S649,S649)-1</f>
        <v>664</v>
      </c>
      <c r="V649" s="20" t="n">
        <f aca="false">ROUND((R649-Q649)*24,4)</f>
        <v>0.0167</v>
      </c>
      <c r="W649" s="20" t="n">
        <f aca="false">ROUND((R649-P649)*24,4)</f>
        <v>0.0333</v>
      </c>
      <c r="X649" s="18" t="str">
        <f aca="false">TEXT(P649,"dddd")</f>
        <v>Thursday</v>
      </c>
      <c r="Y649" s="18" t="n">
        <f aca="false">HOUR(Q649)</f>
        <v>15</v>
      </c>
    </row>
    <row r="650" customFormat="false" ht="15" hidden="false" customHeight="false" outlineLevel="0" collapsed="false">
      <c r="A650" s="18" t="s">
        <v>31</v>
      </c>
      <c r="B650" s="18" t="s">
        <v>291</v>
      </c>
      <c r="C650" s="18" t="s">
        <v>292</v>
      </c>
      <c r="D650" s="18" t="s">
        <v>53</v>
      </c>
      <c r="E650" s="18" t="s">
        <v>168</v>
      </c>
      <c r="F650" s="18" t="n">
        <v>2608</v>
      </c>
      <c r="G650" s="18" t="s">
        <v>125</v>
      </c>
      <c r="H650" s="18" t="s">
        <v>302</v>
      </c>
      <c r="I650" s="18" t="s">
        <v>18</v>
      </c>
      <c r="J650" s="18" t="s">
        <v>12</v>
      </c>
      <c r="K650" s="18" t="s">
        <v>13</v>
      </c>
      <c r="L650" s="18" t="s">
        <v>144</v>
      </c>
      <c r="M650" s="18" t="s">
        <v>125</v>
      </c>
      <c r="N650" s="18" t="s">
        <v>125</v>
      </c>
      <c r="O650" s="18" t="s">
        <v>308</v>
      </c>
      <c r="P650" s="19" t="n">
        <v>46268.6590277778</v>
      </c>
      <c r="Q650" s="19" t="n">
        <v>46268.6597222222</v>
      </c>
      <c r="R650" s="19" t="n">
        <v>46268.6604166667</v>
      </c>
      <c r="S650" s="20" t="n">
        <f aca="false">ROUND((Q650-P650)*24,4)</f>
        <v>0.0167</v>
      </c>
      <c r="T650" s="18" t="str">
        <f aca="false">TEXT(P650,"YYYY-MM")</f>
        <v>2026-09</v>
      </c>
      <c r="U650" s="18" t="n">
        <f aca="false">RANK(S650,$S$2:$S$670)+COUNTIF($S$2:S650,S650)-1</f>
        <v>665</v>
      </c>
      <c r="V650" s="20" t="n">
        <f aca="false">ROUND((R650-Q650)*24,4)</f>
        <v>0.0167</v>
      </c>
      <c r="W650" s="20" t="n">
        <f aca="false">ROUND((R650-P650)*24,4)</f>
        <v>0.0333</v>
      </c>
      <c r="X650" s="18" t="str">
        <f aca="false">TEXT(P650,"dddd")</f>
        <v>Thursday</v>
      </c>
      <c r="Y650" s="18" t="n">
        <f aca="false">HOUR(Q650)</f>
        <v>15</v>
      </c>
    </row>
    <row r="651" customFormat="false" ht="15" hidden="false" customHeight="false" outlineLevel="0" collapsed="false">
      <c r="A651" s="18" t="s">
        <v>37</v>
      </c>
      <c r="B651" s="18" t="s">
        <v>236</v>
      </c>
      <c r="C651" s="18" t="s">
        <v>237</v>
      </c>
      <c r="D651" s="18" t="s">
        <v>46</v>
      </c>
      <c r="E651" s="18" t="s">
        <v>163</v>
      </c>
      <c r="F651" s="18" t="n">
        <v>2608</v>
      </c>
      <c r="G651" s="18" t="s">
        <v>127</v>
      </c>
      <c r="H651" s="18" t="s">
        <v>301</v>
      </c>
      <c r="I651" s="18" t="s">
        <v>20</v>
      </c>
      <c r="J651" s="18" t="s">
        <v>13</v>
      </c>
      <c r="K651" s="18" t="s">
        <v>12</v>
      </c>
      <c r="L651" s="18" t="s">
        <v>125</v>
      </c>
      <c r="M651" s="18" t="s">
        <v>125</v>
      </c>
      <c r="N651" s="18" t="s">
        <v>125</v>
      </c>
      <c r="O651" s="18"/>
      <c r="P651" s="19" t="n">
        <v>46269.1458333333</v>
      </c>
      <c r="Q651" s="19" t="n">
        <v>46269.1875</v>
      </c>
      <c r="R651" s="19" t="n">
        <v>46269.6</v>
      </c>
      <c r="S651" s="20" t="n">
        <f aca="false">ROUND((Q651-P651)*24,4)</f>
        <v>1</v>
      </c>
      <c r="T651" s="18" t="str">
        <f aca="false">TEXT(P651,"YYYY-MM")</f>
        <v>2026-09</v>
      </c>
      <c r="U651" s="18" t="n">
        <f aca="false">RANK(S651,$S$2:$S$670)+COUNTIF($S$2:S651,S651)-1</f>
        <v>569</v>
      </c>
      <c r="V651" s="20" t="n">
        <f aca="false">ROUND((R651-Q651)*24,4)</f>
        <v>9.9</v>
      </c>
      <c r="W651" s="20" t="n">
        <f aca="false">ROUND((R651-P651)*24,4)</f>
        <v>10.9</v>
      </c>
      <c r="X651" s="18" t="str">
        <f aca="false">TEXT(P651,"dddd")</f>
        <v>Friday</v>
      </c>
      <c r="Y651" s="18" t="n">
        <f aca="false">HOUR(Q651)</f>
        <v>4</v>
      </c>
    </row>
    <row r="652" customFormat="false" ht="15" hidden="false" customHeight="false" outlineLevel="0" collapsed="false">
      <c r="A652" s="18" t="s">
        <v>37</v>
      </c>
      <c r="B652" s="18" t="s">
        <v>236</v>
      </c>
      <c r="C652" s="18" t="s">
        <v>237</v>
      </c>
      <c r="D652" s="18" t="s">
        <v>46</v>
      </c>
      <c r="E652" s="18" t="s">
        <v>176</v>
      </c>
      <c r="F652" s="18" t="n">
        <v>2608</v>
      </c>
      <c r="G652" s="18" t="s">
        <v>125</v>
      </c>
      <c r="H652" s="18" t="s">
        <v>302</v>
      </c>
      <c r="I652" s="18" t="s">
        <v>19</v>
      </c>
      <c r="J652" s="18" t="s">
        <v>12</v>
      </c>
      <c r="K652" s="18" t="s">
        <v>13</v>
      </c>
      <c r="L652" s="18" t="s">
        <v>125</v>
      </c>
      <c r="M652" s="18" t="s">
        <v>125</v>
      </c>
      <c r="N652" s="18" t="s">
        <v>125</v>
      </c>
      <c r="O652" s="18"/>
      <c r="P652" s="19" t="n">
        <v>46269.6541666667</v>
      </c>
      <c r="Q652" s="19" t="n">
        <v>46269.825</v>
      </c>
      <c r="R652" s="19" t="n">
        <v>46271.4916666667</v>
      </c>
      <c r="S652" s="20" t="n">
        <f aca="false">ROUND((Q652-P652)*24,4)</f>
        <v>4.1</v>
      </c>
      <c r="T652" s="18" t="str">
        <f aca="false">TEXT(P652,"YYYY-MM")</f>
        <v>2026-09</v>
      </c>
      <c r="U652" s="18" t="n">
        <f aca="false">RANK(S652,$S$2:$S$670)+COUNTIF($S$2:S652,S652)-1</f>
        <v>245</v>
      </c>
      <c r="V652" s="20" t="n">
        <f aca="false">ROUND((R652-Q652)*24,4)</f>
        <v>40</v>
      </c>
      <c r="W652" s="20" t="n">
        <f aca="false">ROUND((R652-P652)*24,4)</f>
        <v>44.1</v>
      </c>
      <c r="X652" s="18" t="str">
        <f aca="false">TEXT(P652,"dddd")</f>
        <v>Friday</v>
      </c>
      <c r="Y652" s="18" t="n">
        <f aca="false">HOUR(Q652)</f>
        <v>19</v>
      </c>
    </row>
    <row r="653" customFormat="false" ht="15" hidden="false" customHeight="false" outlineLevel="0" collapsed="false">
      <c r="A653" s="18" t="s">
        <v>32</v>
      </c>
      <c r="B653" s="18" t="s">
        <v>182</v>
      </c>
      <c r="C653" s="18" t="s">
        <v>183</v>
      </c>
      <c r="D653" s="18" t="s">
        <v>48</v>
      </c>
      <c r="E653" s="18" t="s">
        <v>176</v>
      </c>
      <c r="F653" s="18" t="n">
        <v>2610</v>
      </c>
      <c r="G653" s="18" t="s">
        <v>125</v>
      </c>
      <c r="H653" s="18" t="s">
        <v>323</v>
      </c>
      <c r="I653" s="18" t="s">
        <v>23</v>
      </c>
      <c r="J653" s="18" t="s">
        <v>13</v>
      </c>
      <c r="K653" s="18" t="s">
        <v>186</v>
      </c>
      <c r="L653" s="18" t="s">
        <v>125</v>
      </c>
      <c r="M653" s="18" t="s">
        <v>125</v>
      </c>
      <c r="N653" s="18" t="s">
        <v>125</v>
      </c>
      <c r="O653" s="18"/>
      <c r="P653" s="19" t="n">
        <v>46269.75</v>
      </c>
      <c r="Q653" s="19" t="n">
        <v>46270.0416666667</v>
      </c>
      <c r="R653" s="19" t="n">
        <v>46270.4583333333</v>
      </c>
      <c r="S653" s="20" t="n">
        <f aca="false">ROUND((Q653-P653)*24,4)</f>
        <v>7</v>
      </c>
      <c r="T653" s="18" t="str">
        <f aca="false">TEXT(P653,"YYYY-MM")</f>
        <v>2026-09</v>
      </c>
      <c r="U653" s="18" t="n">
        <f aca="false">RANK(S653,$S$2:$S$670)+COUNTIF($S$2:S653,S653)-1</f>
        <v>197</v>
      </c>
      <c r="V653" s="20" t="n">
        <f aca="false">ROUND((R653-Q653)*24,4)</f>
        <v>10</v>
      </c>
      <c r="W653" s="20" t="n">
        <f aca="false">ROUND((R653-P653)*24,4)</f>
        <v>17</v>
      </c>
      <c r="X653" s="18" t="str">
        <f aca="false">TEXT(P653,"dddd")</f>
        <v>Friday</v>
      </c>
      <c r="Y653" s="18" t="n">
        <f aca="false">HOUR(Q653)</f>
        <v>1</v>
      </c>
    </row>
    <row r="654" customFormat="false" ht="15" hidden="false" customHeight="false" outlineLevel="0" collapsed="false">
      <c r="A654" s="18" t="s">
        <v>31</v>
      </c>
      <c r="B654" s="18" t="s">
        <v>291</v>
      </c>
      <c r="C654" s="18" t="s">
        <v>292</v>
      </c>
      <c r="D654" s="18" t="s">
        <v>53</v>
      </c>
      <c r="E654" s="18" t="s">
        <v>163</v>
      </c>
      <c r="F654" s="18" t="n">
        <v>2608</v>
      </c>
      <c r="G654" s="18" t="s">
        <v>125</v>
      </c>
      <c r="H654" s="18" t="s">
        <v>302</v>
      </c>
      <c r="I654" s="18" t="s">
        <v>24</v>
      </c>
      <c r="J654" s="18" t="s">
        <v>13</v>
      </c>
      <c r="K654" s="18" t="s">
        <v>165</v>
      </c>
      <c r="L654" s="18" t="s">
        <v>125</v>
      </c>
      <c r="M654" s="18" t="s">
        <v>125</v>
      </c>
      <c r="N654" s="18" t="s">
        <v>125</v>
      </c>
      <c r="O654" s="18" t="s">
        <v>308</v>
      </c>
      <c r="P654" s="19" t="n">
        <v>46270.5</v>
      </c>
      <c r="Q654" s="19" t="n">
        <v>46270.5416666667</v>
      </c>
      <c r="R654" s="19" t="n">
        <v>46271.2986111111</v>
      </c>
      <c r="S654" s="20" t="n">
        <f aca="false">ROUND((Q654-P654)*24,4)</f>
        <v>1</v>
      </c>
      <c r="T654" s="18" t="str">
        <f aca="false">TEXT(P654,"YYYY-MM")</f>
        <v>2026-09</v>
      </c>
      <c r="U654" s="18" t="n">
        <f aca="false">RANK(S654,$S$2:$S$670)+COUNTIF($S$2:S654,S654)-1</f>
        <v>570</v>
      </c>
      <c r="V654" s="20" t="n">
        <f aca="false">ROUND((R654-Q654)*24,4)</f>
        <v>18.1667</v>
      </c>
      <c r="W654" s="20" t="n">
        <f aca="false">ROUND((R654-P654)*24,4)</f>
        <v>19.1667</v>
      </c>
      <c r="X654" s="18" t="str">
        <f aca="false">TEXT(P654,"dddd")</f>
        <v>Saturday</v>
      </c>
      <c r="Y654" s="18" t="n">
        <f aca="false">HOUR(Q654)</f>
        <v>13</v>
      </c>
    </row>
    <row r="655" customFormat="false" ht="15" hidden="false" customHeight="false" outlineLevel="0" collapsed="false">
      <c r="A655" s="18" t="s">
        <v>35</v>
      </c>
      <c r="B655" s="18" t="s">
        <v>194</v>
      </c>
      <c r="C655" s="18" t="s">
        <v>195</v>
      </c>
      <c r="D655" s="18" t="s">
        <v>46</v>
      </c>
      <c r="E655" s="18" t="s">
        <v>198</v>
      </c>
      <c r="F655" s="18" t="n">
        <v>2609</v>
      </c>
      <c r="G655" s="18" t="s">
        <v>127</v>
      </c>
      <c r="H655" s="18" t="s">
        <v>318</v>
      </c>
      <c r="I655" s="18" t="s">
        <v>24</v>
      </c>
      <c r="J655" s="18" t="s">
        <v>13</v>
      </c>
      <c r="K655" s="18" t="s">
        <v>12</v>
      </c>
      <c r="L655" s="18" t="s">
        <v>125</v>
      </c>
      <c r="M655" s="18" t="s">
        <v>125</v>
      </c>
      <c r="N655" s="18" t="s">
        <v>125</v>
      </c>
      <c r="O655" s="18"/>
      <c r="P655" s="19" t="n">
        <v>46270.5416666667</v>
      </c>
      <c r="Q655" s="19" t="n">
        <v>46270.5833333333</v>
      </c>
      <c r="R655" s="19" t="n">
        <v>46270.9583333333</v>
      </c>
      <c r="S655" s="20" t="n">
        <f aca="false">ROUND((Q655-P655)*24,4)</f>
        <v>1</v>
      </c>
      <c r="T655" s="18" t="str">
        <f aca="false">TEXT(P655,"YYYY-MM")</f>
        <v>2026-09</v>
      </c>
      <c r="U655" s="18" t="n">
        <f aca="false">RANK(S655,$S$2:$S$670)+COUNTIF($S$2:S655,S655)-1</f>
        <v>571</v>
      </c>
      <c r="V655" s="20" t="n">
        <f aca="false">ROUND((R655-Q655)*24,4)</f>
        <v>9</v>
      </c>
      <c r="W655" s="20" t="n">
        <f aca="false">ROUND((R655-P655)*24,4)</f>
        <v>10</v>
      </c>
      <c r="X655" s="18" t="str">
        <f aca="false">TEXT(P655,"dddd")</f>
        <v>Saturday</v>
      </c>
      <c r="Y655" s="18" t="n">
        <f aca="false">HOUR(Q655)</f>
        <v>14</v>
      </c>
    </row>
    <row r="656" customFormat="false" ht="15" hidden="false" customHeight="false" outlineLevel="0" collapsed="false">
      <c r="A656" s="18" t="s">
        <v>35</v>
      </c>
      <c r="B656" s="18" t="s">
        <v>194</v>
      </c>
      <c r="C656" s="18" t="s">
        <v>195</v>
      </c>
      <c r="D656" s="18" t="s">
        <v>46</v>
      </c>
      <c r="E656" s="18" t="s">
        <v>168</v>
      </c>
      <c r="F656" s="18" t="n">
        <v>2609</v>
      </c>
      <c r="G656" s="18" t="s">
        <v>125</v>
      </c>
      <c r="H656" s="18" t="s">
        <v>319</v>
      </c>
      <c r="I656" s="18" t="s">
        <v>19</v>
      </c>
      <c r="J656" s="18" t="s">
        <v>12</v>
      </c>
      <c r="K656" s="18" t="s">
        <v>13</v>
      </c>
      <c r="L656" s="18" t="s">
        <v>125</v>
      </c>
      <c r="M656" s="18" t="s">
        <v>125</v>
      </c>
      <c r="N656" s="18" t="s">
        <v>125</v>
      </c>
      <c r="O656" s="18"/>
      <c r="P656" s="19" t="n">
        <v>46271.25</v>
      </c>
      <c r="Q656" s="19" t="n">
        <v>46271.6666666667</v>
      </c>
      <c r="R656" s="19" t="n">
        <v>46273.5416666667</v>
      </c>
      <c r="S656" s="20" t="n">
        <f aca="false">ROUND((Q656-P656)*24,4)</f>
        <v>10</v>
      </c>
      <c r="T656" s="18" t="str">
        <f aca="false">TEXT(P656,"YYYY-MM")</f>
        <v>2026-09</v>
      </c>
      <c r="U656" s="18" t="n">
        <f aca="false">RANK(S656,$S$2:$S$670)+COUNTIF($S$2:S656,S656)-1</f>
        <v>147</v>
      </c>
      <c r="V656" s="20" t="n">
        <f aca="false">ROUND((R656-Q656)*24,4)</f>
        <v>45</v>
      </c>
      <c r="W656" s="20" t="n">
        <f aca="false">ROUND((R656-P656)*24,4)</f>
        <v>55</v>
      </c>
      <c r="X656" s="18" t="str">
        <f aca="false">TEXT(P656,"dddd")</f>
        <v>Sunday</v>
      </c>
      <c r="Y656" s="18" t="n">
        <f aca="false">HOUR(Q656)</f>
        <v>16</v>
      </c>
    </row>
    <row r="657" customFormat="false" ht="15" hidden="false" customHeight="false" outlineLevel="0" collapsed="false">
      <c r="A657" s="18" t="s">
        <v>36</v>
      </c>
      <c r="B657" s="18" t="s">
        <v>208</v>
      </c>
      <c r="C657" s="18" t="s">
        <v>209</v>
      </c>
      <c r="D657" s="18" t="s">
        <v>46</v>
      </c>
      <c r="E657" s="18" t="s">
        <v>168</v>
      </c>
      <c r="F657" s="18" t="n">
        <v>2609</v>
      </c>
      <c r="G657" s="18" t="s">
        <v>127</v>
      </c>
      <c r="H657" s="18" t="s">
        <v>318</v>
      </c>
      <c r="I657" s="18" t="s">
        <v>26</v>
      </c>
      <c r="J657" s="18" t="s">
        <v>13</v>
      </c>
      <c r="K657" s="18" t="s">
        <v>12</v>
      </c>
      <c r="L657" s="18" t="s">
        <v>125</v>
      </c>
      <c r="M657" s="18" t="s">
        <v>125</v>
      </c>
      <c r="N657" s="18" t="s">
        <v>125</v>
      </c>
      <c r="O657" s="18"/>
      <c r="P657" s="19" t="n">
        <v>46271.375</v>
      </c>
      <c r="Q657" s="19" t="n">
        <v>46271.4166666667</v>
      </c>
      <c r="R657" s="19" t="n">
        <v>46271.7083333333</v>
      </c>
      <c r="S657" s="20" t="n">
        <f aca="false">ROUND((Q657-P657)*24,4)</f>
        <v>1</v>
      </c>
      <c r="T657" s="18" t="str">
        <f aca="false">TEXT(P657,"YYYY-MM")</f>
        <v>2026-09</v>
      </c>
      <c r="U657" s="18" t="n">
        <f aca="false">RANK(S657,$S$2:$S$670)+COUNTIF($S$2:S657,S657)-1</f>
        <v>572</v>
      </c>
      <c r="V657" s="20" t="n">
        <f aca="false">ROUND((R657-Q657)*24,4)</f>
        <v>7</v>
      </c>
      <c r="W657" s="20" t="n">
        <f aca="false">ROUND((R657-P657)*24,4)</f>
        <v>8</v>
      </c>
      <c r="X657" s="18" t="str">
        <f aca="false">TEXT(P657,"dddd")</f>
        <v>Sunday</v>
      </c>
      <c r="Y657" s="18" t="n">
        <f aca="false">HOUR(Q657)</f>
        <v>10</v>
      </c>
    </row>
    <row r="658" customFormat="false" ht="15" hidden="false" customHeight="false" outlineLevel="0" collapsed="false">
      <c r="A658" s="18" t="s">
        <v>37</v>
      </c>
      <c r="B658" s="18" t="s">
        <v>236</v>
      </c>
      <c r="C658" s="18" t="s">
        <v>237</v>
      </c>
      <c r="D658" s="18" t="s">
        <v>46</v>
      </c>
      <c r="E658" s="18" t="s">
        <v>185</v>
      </c>
      <c r="F658" s="18" t="n">
        <v>2608</v>
      </c>
      <c r="G658" s="18" t="s">
        <v>125</v>
      </c>
      <c r="H658" s="18" t="s">
        <v>302</v>
      </c>
      <c r="I658" s="18" t="s">
        <v>20</v>
      </c>
      <c r="J658" s="18" t="s">
        <v>13</v>
      </c>
      <c r="K658" s="18" t="s">
        <v>165</v>
      </c>
      <c r="L658" s="18" t="s">
        <v>125</v>
      </c>
      <c r="M658" s="18" t="s">
        <v>125</v>
      </c>
      <c r="N658" s="18" t="s">
        <v>125</v>
      </c>
      <c r="O658" s="18"/>
      <c r="P658" s="19" t="n">
        <v>46271.6666666667</v>
      </c>
      <c r="Q658" s="19" t="n">
        <v>46271.7041666667</v>
      </c>
      <c r="R658" s="19" t="n">
        <v>46272.2083333333</v>
      </c>
      <c r="S658" s="20" t="n">
        <f aca="false">ROUND((Q658-P658)*24,4)</f>
        <v>0.9</v>
      </c>
      <c r="T658" s="18" t="str">
        <f aca="false">TEXT(P658,"YYYY-MM")</f>
        <v>2026-09</v>
      </c>
      <c r="U658" s="18" t="n">
        <f aca="false">RANK(S658,$S$2:$S$670)+COUNTIF($S$2:S658,S658)-1</f>
        <v>582</v>
      </c>
      <c r="V658" s="20" t="n">
        <f aca="false">ROUND((R658-Q658)*24,4)</f>
        <v>12.1</v>
      </c>
      <c r="W658" s="20" t="n">
        <f aca="false">ROUND((R658-P658)*24,4)</f>
        <v>13</v>
      </c>
      <c r="X658" s="18" t="str">
        <f aca="false">TEXT(P658,"dddd")</f>
        <v>Sunday</v>
      </c>
      <c r="Y658" s="18" t="n">
        <f aca="false">HOUR(Q658)</f>
        <v>16</v>
      </c>
    </row>
    <row r="659" customFormat="false" ht="15" hidden="false" customHeight="false" outlineLevel="0" collapsed="false">
      <c r="A659" s="18" t="s">
        <v>36</v>
      </c>
      <c r="B659" s="18" t="s">
        <v>208</v>
      </c>
      <c r="C659" s="18" t="s">
        <v>209</v>
      </c>
      <c r="D659" s="18" t="s">
        <v>46</v>
      </c>
      <c r="E659" s="18" t="s">
        <v>163</v>
      </c>
      <c r="F659" s="18" t="n">
        <v>2609</v>
      </c>
      <c r="G659" s="18" t="s">
        <v>125</v>
      </c>
      <c r="H659" s="18" t="s">
        <v>319</v>
      </c>
      <c r="I659" s="18" t="s">
        <v>17</v>
      </c>
      <c r="J659" s="18" t="s">
        <v>12</v>
      </c>
      <c r="K659" s="18" t="s">
        <v>13</v>
      </c>
      <c r="L659" s="18" t="s">
        <v>125</v>
      </c>
      <c r="M659" s="18" t="s">
        <v>125</v>
      </c>
      <c r="N659" s="18" t="s">
        <v>125</v>
      </c>
      <c r="O659" s="18"/>
      <c r="P659" s="19" t="n">
        <v>46271.7916666667</v>
      </c>
      <c r="Q659" s="19" t="n">
        <v>46272.6666666667</v>
      </c>
      <c r="R659" s="19" t="n">
        <v>46274.5833333333</v>
      </c>
      <c r="S659" s="20" t="n">
        <f aca="false">ROUND((Q659-P659)*24,4)</f>
        <v>21</v>
      </c>
      <c r="T659" s="18" t="str">
        <f aca="false">TEXT(P659,"YYYY-MM")</f>
        <v>2026-09</v>
      </c>
      <c r="U659" s="18" t="n">
        <f aca="false">RANK(S659,$S$2:$S$670)+COUNTIF($S$2:S659,S659)-1</f>
        <v>43</v>
      </c>
      <c r="V659" s="20" t="n">
        <f aca="false">ROUND((R659-Q659)*24,4)</f>
        <v>46</v>
      </c>
      <c r="W659" s="20" t="n">
        <f aca="false">ROUND((R659-P659)*24,4)</f>
        <v>67</v>
      </c>
      <c r="X659" s="18" t="str">
        <f aca="false">TEXT(P659,"dddd")</f>
        <v>Sunday</v>
      </c>
      <c r="Y659" s="18" t="n">
        <f aca="false">HOUR(Q659)</f>
        <v>16</v>
      </c>
    </row>
    <row r="660" customFormat="false" ht="15" hidden="false" customHeight="false" outlineLevel="0" collapsed="false">
      <c r="A660" s="18" t="s">
        <v>35</v>
      </c>
      <c r="B660" s="18" t="s">
        <v>194</v>
      </c>
      <c r="C660" s="18" t="s">
        <v>195</v>
      </c>
      <c r="D660" s="18" t="s">
        <v>46</v>
      </c>
      <c r="E660" s="18" t="s">
        <v>163</v>
      </c>
      <c r="F660" s="18" t="n">
        <v>2609</v>
      </c>
      <c r="G660" s="18" t="s">
        <v>125</v>
      </c>
      <c r="H660" s="18" t="s">
        <v>319</v>
      </c>
      <c r="I660" s="18" t="s">
        <v>24</v>
      </c>
      <c r="J660" s="18" t="s">
        <v>13</v>
      </c>
      <c r="K660" s="18" t="s">
        <v>186</v>
      </c>
      <c r="L660" s="18" t="s">
        <v>125</v>
      </c>
      <c r="M660" s="18" t="s">
        <v>125</v>
      </c>
      <c r="N660" s="18" t="s">
        <v>125</v>
      </c>
      <c r="O660" s="18"/>
      <c r="P660" s="19" t="n">
        <v>46273.75</v>
      </c>
      <c r="Q660" s="19" t="n">
        <v>46273.7916666667</v>
      </c>
      <c r="R660" s="19" t="n">
        <v>46274.2083333333</v>
      </c>
      <c r="S660" s="20" t="n">
        <f aca="false">ROUND((Q660-P660)*24,4)</f>
        <v>1</v>
      </c>
      <c r="T660" s="18" t="str">
        <f aca="false">TEXT(P660,"YYYY-MM")</f>
        <v>2026-09</v>
      </c>
      <c r="U660" s="18" t="n">
        <f aca="false">RANK(S660,$S$2:$S$670)+COUNTIF($S$2:S660,S660)-1</f>
        <v>573</v>
      </c>
      <c r="V660" s="20" t="n">
        <f aca="false">ROUND((R660-Q660)*24,4)</f>
        <v>10</v>
      </c>
      <c r="W660" s="20" t="n">
        <f aca="false">ROUND((R660-P660)*24,4)</f>
        <v>11</v>
      </c>
      <c r="X660" s="18" t="str">
        <f aca="false">TEXT(P660,"dddd")</f>
        <v>Tuesday</v>
      </c>
      <c r="Y660" s="18" t="n">
        <f aca="false">HOUR(Q660)</f>
        <v>19</v>
      </c>
    </row>
    <row r="661" customFormat="false" ht="15" hidden="false" customHeight="false" outlineLevel="0" collapsed="false">
      <c r="A661" s="18" t="s">
        <v>36</v>
      </c>
      <c r="B661" s="18" t="s">
        <v>306</v>
      </c>
      <c r="C661" s="18" t="s">
        <v>307</v>
      </c>
      <c r="D661" s="18" t="s">
        <v>47</v>
      </c>
      <c r="E661" s="18" t="s">
        <v>168</v>
      </c>
      <c r="F661" s="18" t="n">
        <v>2610</v>
      </c>
      <c r="G661" s="18" t="s">
        <v>127</v>
      </c>
      <c r="H661" s="18" t="s">
        <v>322</v>
      </c>
      <c r="I661" s="18" t="s">
        <v>23</v>
      </c>
      <c r="J661" s="18" t="s">
        <v>13</v>
      </c>
      <c r="K661" s="18" t="s">
        <v>12</v>
      </c>
      <c r="L661" s="18" t="s">
        <v>125</v>
      </c>
      <c r="M661" s="18" t="s">
        <v>144</v>
      </c>
      <c r="N661" s="18" t="s">
        <v>144</v>
      </c>
      <c r="O661" s="18"/>
      <c r="P661" s="19" t="n">
        <v>46274.1666666667</v>
      </c>
      <c r="Q661" s="19" t="n">
        <v>46274.2083333333</v>
      </c>
      <c r="R661" s="19" t="n">
        <v>46274.6666666667</v>
      </c>
      <c r="S661" s="20" t="n">
        <f aca="false">ROUND((Q661-P661)*24,4)</f>
        <v>1</v>
      </c>
      <c r="T661" s="18" t="str">
        <f aca="false">TEXT(P661,"YYYY-MM")</f>
        <v>2026-09</v>
      </c>
      <c r="U661" s="18" t="n">
        <f aca="false">RANK(S661,$S$2:$S$670)+COUNTIF($S$2:S661,S661)-1</f>
        <v>574</v>
      </c>
      <c r="V661" s="20" t="n">
        <f aca="false">ROUND((R661-Q661)*24,4)</f>
        <v>11</v>
      </c>
      <c r="W661" s="20" t="n">
        <f aca="false">ROUND((R661-P661)*24,4)</f>
        <v>12</v>
      </c>
      <c r="X661" s="18" t="str">
        <f aca="false">TEXT(P661,"dddd")</f>
        <v>Wednesday</v>
      </c>
      <c r="Y661" s="18" t="n">
        <f aca="false">HOUR(Q661)</f>
        <v>5</v>
      </c>
    </row>
    <row r="662" customFormat="false" ht="15" hidden="false" customHeight="false" outlineLevel="0" collapsed="false">
      <c r="A662" s="18" t="s">
        <v>34</v>
      </c>
      <c r="B662" s="18" t="s">
        <v>306</v>
      </c>
      <c r="C662" s="18" t="s">
        <v>307</v>
      </c>
      <c r="D662" s="18" t="s">
        <v>47</v>
      </c>
      <c r="E662" s="18" t="s">
        <v>163</v>
      </c>
      <c r="F662" s="18" t="n">
        <v>2610</v>
      </c>
      <c r="G662" s="18" t="s">
        <v>125</v>
      </c>
      <c r="H662" s="18" t="s">
        <v>323</v>
      </c>
      <c r="I662" s="18" t="s">
        <v>17</v>
      </c>
      <c r="J662" s="18" t="s">
        <v>12</v>
      </c>
      <c r="K662" s="18" t="s">
        <v>13</v>
      </c>
      <c r="L662" s="18" t="s">
        <v>125</v>
      </c>
      <c r="M662" s="18" t="s">
        <v>125</v>
      </c>
      <c r="N662" s="18" t="s">
        <v>125</v>
      </c>
      <c r="O662" s="18"/>
      <c r="P662" s="19" t="n">
        <v>46274.75</v>
      </c>
      <c r="Q662" s="19" t="n">
        <v>46274.875</v>
      </c>
      <c r="R662" s="19" t="n">
        <v>46276.625</v>
      </c>
      <c r="S662" s="20" t="n">
        <f aca="false">ROUND((Q662-P662)*24,4)</f>
        <v>3</v>
      </c>
      <c r="T662" s="18" t="str">
        <f aca="false">TEXT(P662,"YYYY-MM")</f>
        <v>2026-09</v>
      </c>
      <c r="U662" s="18" t="n">
        <f aca="false">RANK(S662,$S$2:$S$670)+COUNTIF($S$2:S662,S662)-1</f>
        <v>298</v>
      </c>
      <c r="V662" s="20" t="n">
        <f aca="false">ROUND((R662-Q662)*24,4)</f>
        <v>42</v>
      </c>
      <c r="W662" s="20" t="n">
        <f aca="false">ROUND((R662-P662)*24,4)</f>
        <v>45</v>
      </c>
      <c r="X662" s="18" t="str">
        <f aca="false">TEXT(P662,"dddd")</f>
        <v>Wednesday</v>
      </c>
      <c r="Y662" s="18" t="n">
        <f aca="false">HOUR(Q662)</f>
        <v>21</v>
      </c>
    </row>
    <row r="663" customFormat="false" ht="15" hidden="false" customHeight="false" outlineLevel="0" collapsed="false">
      <c r="A663" s="18" t="s">
        <v>36</v>
      </c>
      <c r="B663" s="18" t="s">
        <v>306</v>
      </c>
      <c r="C663" s="18" t="s">
        <v>307</v>
      </c>
      <c r="D663" s="18" t="s">
        <v>47</v>
      </c>
      <c r="E663" s="18" t="s">
        <v>163</v>
      </c>
      <c r="F663" s="18" t="n">
        <v>2610</v>
      </c>
      <c r="G663" s="18" t="s">
        <v>125</v>
      </c>
      <c r="H663" s="18" t="s">
        <v>323</v>
      </c>
      <c r="I663" s="18" t="s">
        <v>17</v>
      </c>
      <c r="J663" s="18" t="s">
        <v>12</v>
      </c>
      <c r="K663" s="18" t="s">
        <v>13</v>
      </c>
      <c r="L663" s="18" t="s">
        <v>125</v>
      </c>
      <c r="M663" s="18" t="s">
        <v>144</v>
      </c>
      <c r="N663" s="18" t="s">
        <v>144</v>
      </c>
      <c r="O663" s="18"/>
      <c r="P663" s="19" t="n">
        <v>46274.75</v>
      </c>
      <c r="Q663" s="19" t="n">
        <v>46274.875</v>
      </c>
      <c r="R663" s="19" t="n">
        <v>46276.625</v>
      </c>
      <c r="S663" s="20" t="n">
        <f aca="false">ROUND((Q663-P663)*24,4)</f>
        <v>3</v>
      </c>
      <c r="T663" s="18" t="str">
        <f aca="false">TEXT(P663,"YYYY-MM")</f>
        <v>2026-09</v>
      </c>
      <c r="U663" s="18" t="n">
        <f aca="false">RANK(S663,$S$2:$S$670)+COUNTIF($S$2:S663,S663)-1</f>
        <v>299</v>
      </c>
      <c r="V663" s="20" t="n">
        <f aca="false">ROUND((R663-Q663)*24,4)</f>
        <v>42</v>
      </c>
      <c r="W663" s="20" t="n">
        <f aca="false">ROUND((R663-P663)*24,4)</f>
        <v>45</v>
      </c>
      <c r="X663" s="18" t="str">
        <f aca="false">TEXT(P663,"dddd")</f>
        <v>Wednesday</v>
      </c>
      <c r="Y663" s="18" t="n">
        <f aca="false">HOUR(Q663)</f>
        <v>21</v>
      </c>
    </row>
    <row r="664" customFormat="false" ht="15" hidden="false" customHeight="false" outlineLevel="0" collapsed="false">
      <c r="A664" s="18" t="s">
        <v>36</v>
      </c>
      <c r="B664" s="18" t="s">
        <v>208</v>
      </c>
      <c r="C664" s="18" t="s">
        <v>209</v>
      </c>
      <c r="D664" s="18" t="s">
        <v>46</v>
      </c>
      <c r="E664" s="18" t="s">
        <v>176</v>
      </c>
      <c r="F664" s="18" t="n">
        <v>2609</v>
      </c>
      <c r="G664" s="18" t="s">
        <v>125</v>
      </c>
      <c r="H664" s="18" t="s">
        <v>319</v>
      </c>
      <c r="I664" s="18" t="s">
        <v>23</v>
      </c>
      <c r="J664" s="18" t="s">
        <v>13</v>
      </c>
      <c r="K664" s="18" t="s">
        <v>186</v>
      </c>
      <c r="L664" s="18" t="s">
        <v>125</v>
      </c>
      <c r="M664" s="18" t="s">
        <v>125</v>
      </c>
      <c r="N664" s="18" t="s">
        <v>125</v>
      </c>
      <c r="O664" s="18"/>
      <c r="P664" s="19" t="n">
        <v>46274.7916666667</v>
      </c>
      <c r="Q664" s="19" t="n">
        <v>46275.0416666667</v>
      </c>
      <c r="R664" s="19" t="n">
        <v>46275.5208333333</v>
      </c>
      <c r="S664" s="20" t="n">
        <f aca="false">ROUND((Q664-P664)*24,4)</f>
        <v>6</v>
      </c>
      <c r="T664" s="18" t="str">
        <f aca="false">TEXT(P664,"YYYY-MM")</f>
        <v>2026-09</v>
      </c>
      <c r="U664" s="18" t="n">
        <f aca="false">RANK(S664,$S$2:$S$670)+COUNTIF($S$2:S664,S664)-1</f>
        <v>219</v>
      </c>
      <c r="V664" s="20" t="n">
        <f aca="false">ROUND((R664-Q664)*24,4)</f>
        <v>11.5</v>
      </c>
      <c r="W664" s="20" t="n">
        <f aca="false">ROUND((R664-P664)*24,4)</f>
        <v>17.5</v>
      </c>
      <c r="X664" s="18" t="str">
        <f aca="false">TEXT(P664,"dddd")</f>
        <v>Wednesday</v>
      </c>
      <c r="Y664" s="18" t="n">
        <f aca="false">HOUR(Q664)</f>
        <v>1</v>
      </c>
    </row>
    <row r="665" customFormat="false" ht="15" hidden="false" customHeight="false" outlineLevel="0" collapsed="false">
      <c r="A665" s="18" t="s">
        <v>31</v>
      </c>
      <c r="B665" s="18" t="s">
        <v>242</v>
      </c>
      <c r="C665" s="18" t="s">
        <v>243</v>
      </c>
      <c r="D665" s="18" t="s">
        <v>46</v>
      </c>
      <c r="E665" s="18" t="s">
        <v>198</v>
      </c>
      <c r="F665" s="18" t="n">
        <v>2609</v>
      </c>
      <c r="G665" s="18" t="s">
        <v>127</v>
      </c>
      <c r="H665" s="18" t="s">
        <v>318</v>
      </c>
      <c r="I665" s="18" t="s">
        <v>20</v>
      </c>
      <c r="J665" s="18" t="s">
        <v>13</v>
      </c>
      <c r="K665" s="18" t="s">
        <v>12</v>
      </c>
      <c r="L665" s="18" t="s">
        <v>125</v>
      </c>
      <c r="M665" s="18" t="s">
        <v>125</v>
      </c>
      <c r="N665" s="18" t="s">
        <v>125</v>
      </c>
      <c r="O665" s="18"/>
      <c r="P665" s="19" t="n">
        <v>46275.4583333333</v>
      </c>
      <c r="Q665" s="19" t="n">
        <v>46275.5</v>
      </c>
      <c r="R665" s="19" t="n">
        <v>46275.875</v>
      </c>
      <c r="S665" s="20" t="n">
        <f aca="false">ROUND((Q665-P665)*24,4)</f>
        <v>1</v>
      </c>
      <c r="T665" s="18" t="str">
        <f aca="false">TEXT(P665,"YYYY-MM")</f>
        <v>2026-09</v>
      </c>
      <c r="U665" s="18" t="n">
        <f aca="false">RANK(S665,$S$2:$S$670)+COUNTIF($S$2:S665,S665)-1</f>
        <v>575</v>
      </c>
      <c r="V665" s="20" t="n">
        <f aca="false">ROUND((R665-Q665)*24,4)</f>
        <v>9</v>
      </c>
      <c r="W665" s="20" t="n">
        <f aca="false">ROUND((R665-P665)*24,4)</f>
        <v>10</v>
      </c>
      <c r="X665" s="18" t="str">
        <f aca="false">TEXT(P665,"dddd")</f>
        <v>Thursday</v>
      </c>
      <c r="Y665" s="18" t="n">
        <f aca="false">HOUR(Q665)</f>
        <v>12</v>
      </c>
    </row>
    <row r="666" customFormat="false" ht="15" hidden="false" customHeight="false" outlineLevel="0" collapsed="false">
      <c r="A666" s="18" t="s">
        <v>31</v>
      </c>
      <c r="B666" s="18" t="s">
        <v>242</v>
      </c>
      <c r="C666" s="18" t="s">
        <v>243</v>
      </c>
      <c r="D666" s="18" t="s">
        <v>46</v>
      </c>
      <c r="E666" s="18" t="s">
        <v>168</v>
      </c>
      <c r="F666" s="18" t="n">
        <v>2609</v>
      </c>
      <c r="G666" s="18" t="s">
        <v>125</v>
      </c>
      <c r="H666" s="18" t="s">
        <v>319</v>
      </c>
      <c r="I666" s="18" t="s">
        <v>18</v>
      </c>
      <c r="J666" s="18" t="s">
        <v>12</v>
      </c>
      <c r="K666" s="18" t="s">
        <v>13</v>
      </c>
      <c r="L666" s="18" t="s">
        <v>125</v>
      </c>
      <c r="M666" s="18" t="s">
        <v>125</v>
      </c>
      <c r="N666" s="18" t="s">
        <v>125</v>
      </c>
      <c r="O666" s="18"/>
      <c r="P666" s="19" t="n">
        <v>46275.9583333333</v>
      </c>
      <c r="Q666" s="19" t="n">
        <v>46276.0416666667</v>
      </c>
      <c r="R666" s="19" t="n">
        <v>46276.75</v>
      </c>
      <c r="S666" s="20" t="n">
        <f aca="false">ROUND((Q666-P666)*24,4)</f>
        <v>2</v>
      </c>
      <c r="T666" s="18" t="str">
        <f aca="false">TEXT(P666,"YYYY-MM")</f>
        <v>2026-09</v>
      </c>
      <c r="U666" s="18" t="n">
        <f aca="false">RANK(S666,$S$2:$S$670)+COUNTIF($S$2:S666,S666)-1</f>
        <v>350</v>
      </c>
      <c r="V666" s="20" t="n">
        <f aca="false">ROUND((R666-Q666)*24,4)</f>
        <v>17</v>
      </c>
      <c r="W666" s="20" t="n">
        <f aca="false">ROUND((R666-P666)*24,4)</f>
        <v>19</v>
      </c>
      <c r="X666" s="18" t="str">
        <f aca="false">TEXT(P666,"dddd")</f>
        <v>Thursday</v>
      </c>
      <c r="Y666" s="18" t="n">
        <f aca="false">HOUR(Q666)</f>
        <v>1</v>
      </c>
    </row>
    <row r="667" customFormat="false" ht="15" hidden="false" customHeight="false" outlineLevel="0" collapsed="false">
      <c r="A667" s="18" t="s">
        <v>34</v>
      </c>
      <c r="B667" s="18" t="s">
        <v>306</v>
      </c>
      <c r="C667" s="18" t="s">
        <v>307</v>
      </c>
      <c r="D667" s="18" t="s">
        <v>47</v>
      </c>
      <c r="E667" s="18" t="s">
        <v>176</v>
      </c>
      <c r="F667" s="18" t="n">
        <v>2610</v>
      </c>
      <c r="G667" s="18" t="s">
        <v>125</v>
      </c>
      <c r="H667" s="18" t="s">
        <v>323</v>
      </c>
      <c r="I667" s="18" t="s">
        <v>23</v>
      </c>
      <c r="J667" s="18" t="s">
        <v>13</v>
      </c>
      <c r="K667" s="18" t="s">
        <v>165</v>
      </c>
      <c r="L667" s="18" t="s">
        <v>125</v>
      </c>
      <c r="M667" s="18" t="s">
        <v>125</v>
      </c>
      <c r="N667" s="18" t="s">
        <v>125</v>
      </c>
      <c r="O667" s="18"/>
      <c r="P667" s="19" t="n">
        <v>46276.8333333333</v>
      </c>
      <c r="Q667" s="19" t="n">
        <v>46276.875</v>
      </c>
      <c r="R667" s="19" t="n">
        <v>46277.2916666667</v>
      </c>
      <c r="S667" s="20" t="n">
        <f aca="false">ROUND((Q667-P667)*24,4)</f>
        <v>1</v>
      </c>
      <c r="T667" s="18" t="str">
        <f aca="false">TEXT(P667,"YYYY-MM")</f>
        <v>2026-09</v>
      </c>
      <c r="U667" s="18" t="n">
        <f aca="false">RANK(S667,$S$2:$S$670)+COUNTIF($S$2:S667,S667)-1</f>
        <v>576</v>
      </c>
      <c r="V667" s="20" t="n">
        <f aca="false">ROUND((R667-Q667)*24,4)</f>
        <v>10</v>
      </c>
      <c r="W667" s="20" t="n">
        <f aca="false">ROUND((R667-P667)*24,4)</f>
        <v>11</v>
      </c>
      <c r="X667" s="18" t="str">
        <f aca="false">TEXT(P667,"dddd")</f>
        <v>Friday</v>
      </c>
      <c r="Y667" s="18" t="n">
        <f aca="false">HOUR(Q667)</f>
        <v>21</v>
      </c>
    </row>
    <row r="668" customFormat="false" ht="15" hidden="false" customHeight="false" outlineLevel="0" collapsed="false">
      <c r="A668" s="18" t="s">
        <v>31</v>
      </c>
      <c r="B668" s="18" t="s">
        <v>242</v>
      </c>
      <c r="C668" s="18" t="s">
        <v>243</v>
      </c>
      <c r="D668" s="18" t="s">
        <v>46</v>
      </c>
      <c r="E668" s="18" t="s">
        <v>163</v>
      </c>
      <c r="F668" s="18" t="n">
        <v>2609</v>
      </c>
      <c r="G668" s="18" t="s">
        <v>125</v>
      </c>
      <c r="H668" s="18" t="s">
        <v>319</v>
      </c>
      <c r="I668" s="18" t="s">
        <v>20</v>
      </c>
      <c r="J668" s="18" t="s">
        <v>13</v>
      </c>
      <c r="K668" s="18" t="s">
        <v>165</v>
      </c>
      <c r="L668" s="18" t="s">
        <v>125</v>
      </c>
      <c r="M668" s="18" t="s">
        <v>125</v>
      </c>
      <c r="N668" s="18" t="s">
        <v>125</v>
      </c>
      <c r="O668" s="18"/>
      <c r="P668" s="19" t="n">
        <v>46276.9166666667</v>
      </c>
      <c r="Q668" s="19" t="n">
        <v>46276.9583333333</v>
      </c>
      <c r="R668" s="19" t="n">
        <v>46277.4583333333</v>
      </c>
      <c r="S668" s="20" t="n">
        <f aca="false">ROUND((Q668-P668)*24,4)</f>
        <v>1</v>
      </c>
      <c r="T668" s="18" t="str">
        <f aca="false">TEXT(P668,"YYYY-MM")</f>
        <v>2026-09</v>
      </c>
      <c r="U668" s="18" t="n">
        <f aca="false">RANK(S668,$S$2:$S$670)+COUNTIF($S$2:S668,S668)-1</f>
        <v>577</v>
      </c>
      <c r="V668" s="20" t="n">
        <f aca="false">ROUND((R668-Q668)*24,4)</f>
        <v>12</v>
      </c>
      <c r="W668" s="20" t="n">
        <f aca="false">ROUND((R668-P668)*24,4)</f>
        <v>13</v>
      </c>
      <c r="X668" s="18" t="str">
        <f aca="false">TEXT(P668,"dddd")</f>
        <v>Friday</v>
      </c>
      <c r="Y668" s="18" t="n">
        <f aca="false">HOUR(Q668)</f>
        <v>23</v>
      </c>
    </row>
    <row r="669" customFormat="false" ht="15" hidden="false" customHeight="false" outlineLevel="0" collapsed="false">
      <c r="A669" s="18" t="s">
        <v>39</v>
      </c>
      <c r="B669" s="18" t="s">
        <v>287</v>
      </c>
      <c r="C669" s="18" t="s">
        <v>288</v>
      </c>
      <c r="D669" s="18" t="s">
        <v>46</v>
      </c>
      <c r="E669" s="18" t="s">
        <v>176</v>
      </c>
      <c r="F669" s="18" t="n">
        <v>2607</v>
      </c>
      <c r="G669" s="18" t="s">
        <v>125</v>
      </c>
      <c r="H669" s="18" t="s">
        <v>290</v>
      </c>
      <c r="I669" s="18" t="s">
        <v>25</v>
      </c>
      <c r="J669" s="18" t="s">
        <v>13</v>
      </c>
      <c r="K669" s="18" t="s">
        <v>216</v>
      </c>
      <c r="L669" s="18" t="s">
        <v>125</v>
      </c>
      <c r="M669" s="18" t="s">
        <v>125</v>
      </c>
      <c r="N669" s="18" t="s">
        <v>125</v>
      </c>
      <c r="O669" s="18"/>
      <c r="P669" s="19" t="n">
        <v>46280.4166666667</v>
      </c>
      <c r="Q669" s="19" t="n">
        <v>46280.4583333333</v>
      </c>
      <c r="R669" s="19" t="n">
        <v>46281.5416666667</v>
      </c>
      <c r="S669" s="20" t="n">
        <f aca="false">ROUND((Q669-P669)*24,4)</f>
        <v>1</v>
      </c>
      <c r="T669" s="18" t="str">
        <f aca="false">TEXT(P669,"YYYY-MM")</f>
        <v>2026-09</v>
      </c>
      <c r="U669" s="18" t="n">
        <f aca="false">RANK(S669,$S$2:$S$670)+COUNTIF($S$2:S669,S669)-1</f>
        <v>578</v>
      </c>
      <c r="V669" s="20" t="n">
        <f aca="false">ROUND((R669-Q669)*24,4)</f>
        <v>26</v>
      </c>
      <c r="W669" s="20" t="n">
        <f aca="false">ROUND((R669-P669)*24,4)</f>
        <v>27</v>
      </c>
      <c r="X669" s="18" t="str">
        <f aca="false">TEXT(P669,"dddd")</f>
        <v>Tuesday</v>
      </c>
      <c r="Y669" s="18" t="n">
        <f aca="false">HOUR(Q669)</f>
        <v>11</v>
      </c>
    </row>
    <row r="670" customFormat="false" ht="15" hidden="false" customHeight="false" outlineLevel="0" collapsed="false">
      <c r="A670" s="18" t="s">
        <v>32</v>
      </c>
      <c r="B670" s="18" t="s">
        <v>188</v>
      </c>
      <c r="C670" s="18" t="s">
        <v>189</v>
      </c>
      <c r="D670" s="18" t="s">
        <v>46</v>
      </c>
      <c r="E670" s="18" t="s">
        <v>168</v>
      </c>
      <c r="F670" s="18" t="n">
        <v>2610</v>
      </c>
      <c r="G670" s="18" t="s">
        <v>127</v>
      </c>
      <c r="H670" s="18" t="s">
        <v>322</v>
      </c>
      <c r="I670" s="18" t="s">
        <v>23</v>
      </c>
      <c r="J670" s="18" t="s">
        <v>13</v>
      </c>
      <c r="K670" s="18" t="s">
        <v>12</v>
      </c>
      <c r="L670" s="18" t="s">
        <v>125</v>
      </c>
      <c r="M670" s="18" t="s">
        <v>125</v>
      </c>
      <c r="N670" s="18" t="s">
        <v>125</v>
      </c>
      <c r="O670" s="18"/>
      <c r="P670" s="19" t="n">
        <v>46281.7083333333</v>
      </c>
      <c r="Q670" s="19" t="n">
        <v>46281.9166666667</v>
      </c>
      <c r="R670" s="19" t="n">
        <v>46282.2083333333</v>
      </c>
      <c r="S670" s="20" t="n">
        <f aca="false">ROUND((Q670-P670)*24,4)</f>
        <v>5</v>
      </c>
      <c r="T670" s="18" t="str">
        <f aca="false">TEXT(P670,"YYYY-MM")</f>
        <v>2026-09</v>
      </c>
      <c r="U670" s="18" t="n">
        <f aca="false">RANK(S670,$S$2:$S$670)+COUNTIF($S$2:S670,S670)-1</f>
        <v>239</v>
      </c>
      <c r="V670" s="20" t="n">
        <f aca="false">ROUND((R670-Q670)*24,4)</f>
        <v>7</v>
      </c>
      <c r="W670" s="20" t="n">
        <f aca="false">ROUND((R670-P670)*24,4)</f>
        <v>12</v>
      </c>
      <c r="X670" s="18" t="str">
        <f aca="false">TEXT(P670,"dddd")</f>
        <v>Wednesday</v>
      </c>
      <c r="Y670" s="18" t="n">
        <f aca="false">HOUR(Q670)</f>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2026-09-17T09:22:26Z</dcterms:created>
  <dc:creator>openpyxl</dc:creator>
  <dc:description/>
  <dc:language>en-US</dc:language>
  <cp:lastModifiedBy/>
  <dcterms:modified xsi:type="dcterms:W3CDTF">2026-09-17T09:22:39Z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